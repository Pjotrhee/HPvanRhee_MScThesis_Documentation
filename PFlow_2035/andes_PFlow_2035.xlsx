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HPvanRhee_MScThesis_Documentation\PFlow_2035\"/>
    </mc:Choice>
  </mc:AlternateContent>
  <xr:revisionPtr revIDLastSave="0" documentId="13_ncr:1_{8DD98435-B18D-4F9D-95B5-7ED0E53A027C}" xr6:coauthVersionLast="47" xr6:coauthVersionMax="47" xr10:uidLastSave="{00000000-0000-0000-0000-000000000000}"/>
  <bookViews>
    <workbookView xWindow="3465" yWindow="2400" windowWidth="21600" windowHeight="11295" activeTab="2" xr2:uid="{00000000-000D-0000-FFFF-FFFF00000000}"/>
  </bookViews>
  <sheets>
    <sheet name="Bus" sheetId="1" r:id="rId1"/>
    <sheet name="PQ" sheetId="11" r:id="rId2"/>
    <sheet name="PV" sheetId="3" r:id="rId3"/>
    <sheet name="Slack" sheetId="4" r:id="rId4"/>
    <sheet name="Lin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I9" i="3"/>
  <c r="I8" i="3"/>
  <c r="G46" i="11"/>
  <c r="H46" i="11" s="1"/>
  <c r="G45" i="11"/>
  <c r="H45" i="11" s="1"/>
  <c r="G44" i="11"/>
  <c r="H44" i="11" s="1"/>
  <c r="G43" i="11"/>
  <c r="H43" i="11" s="1"/>
  <c r="H42" i="11"/>
  <c r="G42" i="11"/>
  <c r="H41" i="11"/>
  <c r="G41" i="11"/>
  <c r="G40" i="11"/>
  <c r="H40" i="11" s="1"/>
  <c r="G39" i="11"/>
  <c r="H39" i="11" s="1"/>
  <c r="G38" i="11"/>
  <c r="H38" i="11" s="1"/>
  <c r="G37" i="11"/>
  <c r="H37" i="11" s="1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1" i="3"/>
  <c r="M74" i="3"/>
  <c r="K74" i="3"/>
  <c r="T126" i="5" l="1"/>
  <c r="T125" i="5"/>
  <c r="T124" i="5"/>
  <c r="T123" i="5"/>
  <c r="K76" i="5"/>
  <c r="K75" i="5"/>
  <c r="K74" i="5"/>
  <c r="K73" i="5"/>
  <c r="K72" i="5"/>
  <c r="K71" i="5"/>
  <c r="K64" i="5"/>
  <c r="K63" i="5"/>
  <c r="K62" i="5"/>
  <c r="K61" i="5"/>
  <c r="K57" i="5"/>
  <c r="K56" i="5"/>
  <c r="K55" i="5"/>
  <c r="K54" i="5"/>
  <c r="K44" i="5"/>
  <c r="K43" i="5"/>
  <c r="K36" i="5"/>
  <c r="K35" i="5"/>
  <c r="N2" i="4"/>
  <c r="M2" i="4"/>
  <c r="L2" i="4"/>
  <c r="K2" i="4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5" i="3"/>
  <c r="M76" i="3"/>
  <c r="M77" i="3"/>
  <c r="M78" i="3"/>
  <c r="M79" i="3"/>
  <c r="M80" i="3"/>
  <c r="M81" i="3"/>
  <c r="M82" i="3"/>
  <c r="M3" i="3"/>
  <c r="N3" i="3"/>
  <c r="M4" i="3"/>
  <c r="N4" i="3"/>
  <c r="M5" i="3"/>
  <c r="N5" i="3" s="1"/>
  <c r="M6" i="3"/>
  <c r="N6" i="3"/>
  <c r="M7" i="3"/>
  <c r="N7" i="3" s="1"/>
  <c r="M8" i="3"/>
  <c r="N8" i="3"/>
  <c r="M9" i="3"/>
  <c r="N9" i="3"/>
  <c r="M10" i="3"/>
  <c r="N10" i="3"/>
  <c r="N2" i="3"/>
  <c r="M2" i="3"/>
  <c r="I150" i="3"/>
  <c r="I83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16" i="3"/>
  <c r="I15" i="3"/>
  <c r="I12" i="3"/>
  <c r="I13" i="3"/>
  <c r="I14" i="3"/>
  <c r="I1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2" i="3"/>
  <c r="I145" i="3" l="1"/>
  <c r="I146" i="3"/>
  <c r="I147" i="3"/>
  <c r="I148" i="3"/>
  <c r="I149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44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26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10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N139" i="3"/>
  <c r="N23" i="3"/>
  <c r="N31" i="3"/>
  <c r="N35" i="3"/>
  <c r="N47" i="3"/>
  <c r="N55" i="3"/>
  <c r="N59" i="3"/>
  <c r="N71" i="3"/>
  <c r="N79" i="3"/>
  <c r="N83" i="3"/>
  <c r="N85" i="3"/>
  <c r="N86" i="3"/>
  <c r="N87" i="3"/>
  <c r="N89" i="3"/>
  <c r="N91" i="3"/>
  <c r="N95" i="3"/>
  <c r="N96" i="3"/>
  <c r="N97" i="3"/>
  <c r="N98" i="3"/>
  <c r="N99" i="3"/>
  <c r="N100" i="3"/>
  <c r="N101" i="3"/>
  <c r="N102" i="3"/>
  <c r="N103" i="3"/>
  <c r="N107" i="3"/>
  <c r="N109" i="3"/>
  <c r="N111" i="3"/>
  <c r="N112" i="3"/>
  <c r="N113" i="3"/>
  <c r="N115" i="3"/>
  <c r="N119" i="3"/>
  <c r="N120" i="3"/>
  <c r="N121" i="3"/>
  <c r="N122" i="3"/>
  <c r="N123" i="3"/>
  <c r="N125" i="3"/>
  <c r="N127" i="3"/>
  <c r="N131" i="3"/>
  <c r="N132" i="3"/>
  <c r="N133" i="3"/>
  <c r="N134" i="3"/>
  <c r="N135" i="3"/>
  <c r="N136" i="3"/>
  <c r="N137" i="3"/>
  <c r="N138" i="3"/>
  <c r="N140" i="3"/>
  <c r="N144" i="3"/>
  <c r="N146" i="3"/>
  <c r="N148" i="3"/>
  <c r="N149" i="3"/>
  <c r="N150" i="3"/>
  <c r="N152" i="3"/>
  <c r="N156" i="3"/>
  <c r="N157" i="3"/>
  <c r="N158" i="3"/>
  <c r="N159" i="3"/>
  <c r="N160" i="3"/>
  <c r="N162" i="3"/>
  <c r="N164" i="3"/>
  <c r="N168" i="3"/>
  <c r="N169" i="3"/>
  <c r="N170" i="3"/>
  <c r="N171" i="3"/>
  <c r="L3" i="3"/>
  <c r="L4" i="3"/>
  <c r="L5" i="3"/>
  <c r="L6" i="3"/>
  <c r="L7" i="3"/>
  <c r="L8" i="3"/>
  <c r="L9" i="3"/>
  <c r="L10" i="3"/>
  <c r="L2" i="3"/>
  <c r="N84" i="3"/>
  <c r="N88" i="3"/>
  <c r="N90" i="3"/>
  <c r="N92" i="3"/>
  <c r="N93" i="3"/>
  <c r="N94" i="3"/>
  <c r="N104" i="3"/>
  <c r="N105" i="3"/>
  <c r="N106" i="3"/>
  <c r="N108" i="3"/>
  <c r="N110" i="3"/>
  <c r="N114" i="3"/>
  <c r="N116" i="3"/>
  <c r="N117" i="3"/>
  <c r="N118" i="3"/>
  <c r="N124" i="3"/>
  <c r="N126" i="3"/>
  <c r="N128" i="3"/>
  <c r="N129" i="3"/>
  <c r="N130" i="3"/>
  <c r="N141" i="3"/>
  <c r="N142" i="3"/>
  <c r="N143" i="3"/>
  <c r="N145" i="3"/>
  <c r="N147" i="3"/>
  <c r="N151" i="3"/>
  <c r="N153" i="3"/>
  <c r="N154" i="3"/>
  <c r="N155" i="3"/>
  <c r="N161" i="3"/>
  <c r="N163" i="3"/>
  <c r="N165" i="3"/>
  <c r="N166" i="3"/>
  <c r="N167" i="3"/>
  <c r="N24" i="3"/>
  <c r="N36" i="3"/>
  <c r="N48" i="3"/>
  <c r="N60" i="3"/>
  <c r="N72" i="3"/>
  <c r="N19" i="3"/>
  <c r="N21" i="3"/>
  <c r="N33" i="3"/>
  <c r="N43" i="3"/>
  <c r="N45" i="3"/>
  <c r="N57" i="3"/>
  <c r="N67" i="3"/>
  <c r="N69" i="3"/>
  <c r="N81" i="3"/>
  <c r="N13" i="3"/>
  <c r="N14" i="3"/>
  <c r="N15" i="3"/>
  <c r="N16" i="3"/>
  <c r="N17" i="3"/>
  <c r="N18" i="3"/>
  <c r="N20" i="3"/>
  <c r="N22" i="3"/>
  <c r="N25" i="3"/>
  <c r="N26" i="3"/>
  <c r="N27" i="3"/>
  <c r="N28" i="3"/>
  <c r="N29" i="3"/>
  <c r="N30" i="3"/>
  <c r="N32" i="3"/>
  <c r="N34" i="3"/>
  <c r="N37" i="3"/>
  <c r="N38" i="3"/>
  <c r="N39" i="3"/>
  <c r="N40" i="3"/>
  <c r="N41" i="3"/>
  <c r="N42" i="3"/>
  <c r="N44" i="3"/>
  <c r="N46" i="3"/>
  <c r="N49" i="3"/>
  <c r="N50" i="3"/>
  <c r="N51" i="3"/>
  <c r="N52" i="3"/>
  <c r="N53" i="3"/>
  <c r="N54" i="3"/>
  <c r="N56" i="3"/>
  <c r="N58" i="3"/>
  <c r="N61" i="3"/>
  <c r="N62" i="3"/>
  <c r="N63" i="3"/>
  <c r="N64" i="3"/>
  <c r="N65" i="3"/>
  <c r="N66" i="3"/>
  <c r="N68" i="3"/>
  <c r="N70" i="3"/>
  <c r="N73" i="3"/>
  <c r="N74" i="3"/>
  <c r="N75" i="3"/>
  <c r="N76" i="3"/>
  <c r="N77" i="3"/>
  <c r="N78" i="3"/>
  <c r="N80" i="3"/>
  <c r="N82" i="3"/>
  <c r="N12" i="3"/>
  <c r="N11" i="3"/>
</calcChain>
</file>

<file path=xl/sharedStrings.xml><?xml version="1.0" encoding="utf-8"?>
<sst xmlns="http://schemas.openxmlformats.org/spreadsheetml/2006/main" count="607" uniqueCount="494">
  <si>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</si>
  <si>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</si>
  <si>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</si>
  <si>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</si>
  <si>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</si>
  <si>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</si>
  <si>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</si>
  <si>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</si>
  <si>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</si>
  <si>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</si>
  <si>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</si>
  <si>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</si>
  <si>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</si>
  <si>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</si>
  <si>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</si>
  <si>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</si>
  <si>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</si>
  <si>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</si>
  <si>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</si>
  <si>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</si>
  <si>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</si>
  <si>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</si>
  <si>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</si>
  <si>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</si>
  <si>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</si>
  <si>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</si>
  <si>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</si>
  <si>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</si>
  <si>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</si>
  <si>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</si>
  <si>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</si>
  <si>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</si>
  <si>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</si>
  <si>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</si>
  <si>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</si>
  <si>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</si>
  <si>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</si>
  <si>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</si>
  <si>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</si>
  <si>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</si>
  <si>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</si>
  <si>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</si>
  <si>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</si>
  <si>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</si>
  <si>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</si>
  <si>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</si>
  <si>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</si>
  <si>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</si>
  <si>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</si>
  <si>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</si>
  <si>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</si>
  <si>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</si>
  <si>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</si>
  <si>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</si>
  <si>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</si>
  <si>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</si>
  <si>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</si>
  <si>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</si>
  <si>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</si>
  <si>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</si>
  <si>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</si>
  <si>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</si>
  <si>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</si>
  <si>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</si>
  <si>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</si>
  <si>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</si>
  <si>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</si>
  <si>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</si>
  <si>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</si>
  <si>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</si>
  <si>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</si>
  <si>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</si>
  <si>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</si>
  <si>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</si>
  <si>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</si>
  <si>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</si>
  <si>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</si>
  <si>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</si>
  <si>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</si>
  <si>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</si>
  <si>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</si>
  <si>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</si>
  <si>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</si>
  <si>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</si>
  <si>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</si>
  <si>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</si>
  <si>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</si>
  <si>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</si>
  <si>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</si>
  <si>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</si>
  <si>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</si>
  <si>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</si>
  <si>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</si>
  <si>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</si>
  <si>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</si>
  <si>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</si>
  <si>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</si>
  <si>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</si>
  <si>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</si>
  <si>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</si>
  <si>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</si>
  <si>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</si>
  <si>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</si>
  <si>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</si>
  <si>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</si>
  <si>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</si>
  <si>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</si>
  <si>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</si>
  <si>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</si>
  <si>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</si>
  <si>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</si>
  <si>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</si>
  <si>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</si>
  <si>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</si>
  <si>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</si>
  <si>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</si>
  <si>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</si>
  <si>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</si>
  <si>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</si>
  <si>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</si>
  <si>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</si>
  <si>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</si>
  <si>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</si>
  <si>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</si>
  <si>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</si>
  <si>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</si>
  <si>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</si>
  <si>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</si>
  <si>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</si>
  <si>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</si>
  <si>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</si>
  <si>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</si>
  <si>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</si>
  <si>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</si>
  <si>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</si>
  <si>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</si>
  <si>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</si>
  <si>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</si>
  <si>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</si>
  <si>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</si>
  <si>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</si>
  <si>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</si>
  <si>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</si>
  <si>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</si>
  <si>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</si>
  <si>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</si>
  <si>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</si>
  <si>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</si>
  <si>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</si>
  <si>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</si>
  <si>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</si>
  <si>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</si>
  <si>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</si>
  <si>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</si>
  <si>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</si>
  <si>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</si>
  <si>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</si>
  <si>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</si>
  <si>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</si>
  <si>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</si>
  <si>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</si>
  <si>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</si>
  <si>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</si>
  <si>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</si>
  <si>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</si>
  <si>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</si>
  <si>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</si>
  <si>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</si>
  <si>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</si>
  <si>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</si>
  <si>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</si>
  <si>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</si>
  <si>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</si>
  <si>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</si>
  <si>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</si>
  <si>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</si>
  <si>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</si>
  <si>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</si>
  <si>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</si>
  <si>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</si>
  <si>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</si>
  <si>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</si>
  <si>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</si>
  <si>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</si>
  <si>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</si>
  <si>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</si>
  <si>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</si>
  <si>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</si>
  <si>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</si>
  <si>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</si>
  <si>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</si>
  <si>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</si>
  <si>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</si>
  <si>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</si>
  <si>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</si>
  <si>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</si>
  <si>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</si>
  <si>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</si>
  <si>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</si>
  <si>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</si>
  <si>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</si>
  <si>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</si>
  <si>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</si>
  <si>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</si>
  <si>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</si>
  <si>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</si>
  <si>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</si>
  <si>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</si>
  <si>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</si>
  <si>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</si>
  <si>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</si>
  <si>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</si>
  <si>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</si>
  <si>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</si>
  <si>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</si>
  <si>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</si>
  <si>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</si>
  <si>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</si>
  <si>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</si>
  <si>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</si>
  <si>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</si>
  <si>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KIJ380-BKK380-W</t>
  </si>
  <si>
    <t>KIJ380-BWK380-W</t>
  </si>
  <si>
    <t>KIJ380-BWK380-Z</t>
  </si>
  <si>
    <t>KIJ380-GT380-W</t>
  </si>
  <si>
    <t>KIJ380-GT380-Z</t>
  </si>
  <si>
    <t>LLS380-ENS380-W</t>
  </si>
  <si>
    <t>LLS380-ENS380-Z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</si>
  <si>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</si>
  <si>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</si>
  <si>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</si>
  <si>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</si>
  <si>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</si>
  <si>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</si>
  <si>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</si>
  <si>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</si>
  <si>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</si>
  <si>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</si>
  <si>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</si>
  <si>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</si>
  <si>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</si>
  <si>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</si>
  <si>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</si>
  <si>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</si>
  <si>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</si>
  <si>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</si>
  <si>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</si>
  <si>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</si>
  <si>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</si>
  <si>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</si>
  <si>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</si>
  <si>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</si>
  <si>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</si>
  <si>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380kV Germany (Diele) - Groningen</t>
  </si>
  <si>
    <t>380kV Germany (Gronau) - Enschede</t>
  </si>
  <si>
    <t>380kV Germany (Rommerskirchen) - Roermond</t>
  </si>
  <si>
    <t>380kV Germany (Siersdorf) - Roermond</t>
  </si>
  <si>
    <t>380kV Belgium (Van Eyck) - Maasbracht</t>
  </si>
  <si>
    <t>380kV Belgium (Zandvliet) - Rilland</t>
  </si>
  <si>
    <t>380kV Britain (BritNed) - Maasvlakte</t>
  </si>
  <si>
    <t>380kV Denmark (COBRA) - Eemshaven</t>
  </si>
  <si>
    <t>380kV Norway (NorNed) - Eemshaven</t>
  </si>
  <si>
    <t>380kV Germany (Wesel) - Doetichem</t>
  </si>
  <si>
    <t>Transformer EEM380 - EEM220</t>
  </si>
  <si>
    <t>Transformer ENS380 - ENS220</t>
  </si>
  <si>
    <t>Transformer MEE380 - MEE220</t>
  </si>
  <si>
    <t>Line_92</t>
  </si>
  <si>
    <t>Line_93</t>
  </si>
  <si>
    <t>Line_94</t>
  </si>
  <si>
    <t>VVL380</t>
  </si>
  <si>
    <t>TB380</t>
  </si>
  <si>
    <t>MSK380</t>
  </si>
  <si>
    <t>WCH380</t>
  </si>
  <si>
    <t>ALR380</t>
  </si>
  <si>
    <t>HLS380</t>
  </si>
  <si>
    <t>ERP380</t>
  </si>
  <si>
    <t>VOB380</t>
  </si>
  <si>
    <t>VVL-EOS380-P</t>
  </si>
  <si>
    <t>VVL-EOS380-W</t>
  </si>
  <si>
    <t>BSL-RLL380-O</t>
  </si>
  <si>
    <t>BSL-RLL380-P</t>
  </si>
  <si>
    <t>KIJ380-DIM380-Z</t>
  </si>
  <si>
    <t>DIM380-OZN380-Z</t>
  </si>
  <si>
    <t>HLS-RLL380-A</t>
  </si>
  <si>
    <t>HLS-RLL380-B</t>
  </si>
  <si>
    <t>GT380-TB380-G</t>
  </si>
  <si>
    <t>GT380-TB380-W</t>
  </si>
  <si>
    <t>GT380-TB380-Z</t>
  </si>
  <si>
    <t>TB380-EHV380-G</t>
  </si>
  <si>
    <t>TB380-EHV380-W</t>
  </si>
  <si>
    <t>TB380-EHV380-Z</t>
  </si>
  <si>
    <t>WL380-ERP380-W</t>
  </si>
  <si>
    <t>WL380-ERP380-Z</t>
  </si>
  <si>
    <t>ERP380-MVL380-W</t>
  </si>
  <si>
    <t>ERP380-MVL380-Z</t>
  </si>
  <si>
    <t>MBT380-WCH380-W</t>
  </si>
  <si>
    <t>MBT380-WCH380-Z</t>
  </si>
  <si>
    <t>WCH380-DOD380-W</t>
  </si>
  <si>
    <t>WCH380-DOD380-Z</t>
  </si>
  <si>
    <t>DIM380-ALR380-O</t>
  </si>
  <si>
    <t>DIM380-ALR380-P</t>
  </si>
  <si>
    <t>DIM380-ALR380-W</t>
  </si>
  <si>
    <t>DIM380-ALR380-Z</t>
  </si>
  <si>
    <t>ALR380-LLS380-O</t>
  </si>
  <si>
    <t>ALR380-LSS380-P</t>
  </si>
  <si>
    <t>ALR380-LSS380-W</t>
  </si>
  <si>
    <t>ALR380-LSS380-Z</t>
  </si>
  <si>
    <t>ENS-VVL380-A</t>
  </si>
  <si>
    <t>ENS-VVL380-B</t>
  </si>
  <si>
    <t>ZL380-VOB380-W</t>
  </si>
  <si>
    <t>ZL380-VOB380-Z</t>
  </si>
  <si>
    <t>VOB380-MSK380-W</t>
  </si>
  <si>
    <t>VOB380-MSK380-Z</t>
  </si>
  <si>
    <t>MSK380-MEE380-W</t>
  </si>
  <si>
    <t>MSK380-MEE380-Z</t>
  </si>
  <si>
    <t>LLS380-ENS380-O</t>
  </si>
  <si>
    <t>LLS380-ENS380-P</t>
  </si>
  <si>
    <t>KIJ380-GT380-O</t>
  </si>
  <si>
    <t>KIJ380-GT380-P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</si>
  <si>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</si>
  <si>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</si>
  <si>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</si>
  <si>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</si>
  <si>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</si>
  <si>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</si>
  <si>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</si>
  <si>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</si>
  <si>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</si>
  <si>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</si>
  <si>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</si>
  <si>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</si>
  <si>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</si>
  <si>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</si>
  <si>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</si>
  <si>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</si>
  <si>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</si>
  <si>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</si>
  <si>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</si>
  <si>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</si>
  <si>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</si>
  <si>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</si>
  <si>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</si>
  <si>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</si>
  <si>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</si>
  <si>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</si>
  <si>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</si>
  <si>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</si>
  <si>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</si>
  <si>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</si>
  <si>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Transformer VLL380 - VLL220</t>
  </si>
  <si>
    <t xml:space="preserve">Pergen Power Station </t>
  </si>
  <si>
    <t>Amylum Gas</t>
  </si>
  <si>
    <t>Corus CHP</t>
  </si>
  <si>
    <t>Kerncentrale Borssele</t>
  </si>
  <si>
    <t>Attero Waste Incineration Plant</t>
  </si>
  <si>
    <t>ELSTA centrale</t>
  </si>
  <si>
    <t>EnecoGen</t>
  </si>
  <si>
    <t>Centrale Bergum</t>
  </si>
  <si>
    <t>Eemscentrale</t>
  </si>
  <si>
    <t>Maximacentrale</t>
  </si>
  <si>
    <t>Centrale Leiden</t>
  </si>
  <si>
    <t>Centrale Den Haag</t>
  </si>
  <si>
    <t>Centrale RoCa</t>
  </si>
  <si>
    <t>Maasvlakte UCML</t>
  </si>
  <si>
    <t>Sloecentrale</t>
  </si>
  <si>
    <t>Amercentrale</t>
  </si>
  <si>
    <t>Salinco</t>
  </si>
  <si>
    <t>Delesto</t>
  </si>
  <si>
    <t>Clauscentrale</t>
  </si>
  <si>
    <t>Warmtekrachtcentrale Erica</t>
  </si>
  <si>
    <t>Warmtekrachtcentrale Klazienaveen</t>
  </si>
  <si>
    <t>Centrale Swentibold</t>
  </si>
  <si>
    <t>Warmtekrachtcentrale Bergen op Zoom</t>
  </si>
  <si>
    <t>Bio-energiecentrale Cuijk</t>
  </si>
  <si>
    <t>Warmtekrachtcentrale 's-Hertogenbosch</t>
  </si>
  <si>
    <t>NAM Schoonebeek</t>
  </si>
  <si>
    <t>Nuon Warmtecentrale Almere</t>
  </si>
  <si>
    <t xml:space="preserve">Centrale Diemen </t>
  </si>
  <si>
    <t>Cluster Velsen</t>
  </si>
  <si>
    <t>Lage Weide</t>
  </si>
  <si>
    <t>Centrale Merwedekanaal</t>
  </si>
  <si>
    <t>Centrale Purmerend</t>
  </si>
  <si>
    <t>Centrale Hemweg</t>
  </si>
  <si>
    <t>Maasstroom Energie CV</t>
  </si>
  <si>
    <t>Centrale Moerdijk</t>
  </si>
  <si>
    <t>Seasun CHP</t>
  </si>
  <si>
    <t>Magnum Centrale</t>
  </si>
  <si>
    <t>AEC Waste Incineration Plant</t>
  </si>
  <si>
    <t>Biomassacentrale Moerdijk</t>
  </si>
  <si>
    <t xml:space="preserve">Biomassa Elektriciteits Centrale </t>
  </si>
  <si>
    <t>Bio Golden Raand</t>
  </si>
  <si>
    <t>AVR Rozenburg</t>
  </si>
  <si>
    <t>AVR Duiven</t>
  </si>
  <si>
    <t>Twence Waste-to-energy</t>
  </si>
  <si>
    <t>EEW Energy from waste Delfzijl</t>
  </si>
  <si>
    <t>HVC AEC Alkmaar</t>
  </si>
  <si>
    <t>HVC AEC Dordrecht</t>
  </si>
  <si>
    <t>AEB Amsterdam</t>
  </si>
  <si>
    <t>Alco Energy Rotterdam</t>
  </si>
  <si>
    <t>Sita Reenergy Roosendaal</t>
  </si>
  <si>
    <t>ARN B.V. Weurt</t>
  </si>
  <si>
    <t>Windpark Gemini</t>
  </si>
  <si>
    <t>Windpark Luchterduinen</t>
  </si>
  <si>
    <t>Windpark Prinses Amalia</t>
  </si>
  <si>
    <t>Windpark NoordzeeWind</t>
  </si>
  <si>
    <t>Windpark Prinses Alexia</t>
  </si>
  <si>
    <t>Windpark Westereems</t>
  </si>
  <si>
    <t>Windpark Noordoostpolder Water</t>
  </si>
  <si>
    <t>Windpark Noordoostpolder Land</t>
  </si>
  <si>
    <t>Windpark Krammer</t>
  </si>
  <si>
    <t>Windpark Kreekraksluis</t>
  </si>
  <si>
    <t>Windpark Delfzijl Noord</t>
  </si>
  <si>
    <t>Windpark Slufterdam</t>
  </si>
  <si>
    <t>Windpark Wieringmeer</t>
  </si>
  <si>
    <t>Windpark N33 Vermeer</t>
  </si>
  <si>
    <t>Windpark N33 Eekerpolder</t>
  </si>
  <si>
    <t>Aggregated Wind NH</t>
  </si>
  <si>
    <t>Aggregated Wind ZH</t>
  </si>
  <si>
    <t>Aggregated Wind ZL</t>
  </si>
  <si>
    <t>Aggregated Wind FL</t>
  </si>
  <si>
    <t>Aggregated Wind GL</t>
  </si>
  <si>
    <t>Aggregated Wind GR</t>
  </si>
  <si>
    <t>Aggregated Wind FR</t>
  </si>
  <si>
    <t>Aggregated Wind DR</t>
  </si>
  <si>
    <t>Aggregated Wind OV</t>
  </si>
  <si>
    <t>Aggregated Wind LI</t>
  </si>
  <si>
    <t>Aggregated Wind NB</t>
  </si>
  <si>
    <t>Aggregated Wind UT</t>
  </si>
  <si>
    <t>Zonnepark Vlagtwedde</t>
  </si>
  <si>
    <t>Zonnepark Midden-Groningen</t>
  </si>
  <si>
    <t>Zonnepark Duurkenakker</t>
  </si>
  <si>
    <t>Zonnepark Scaldia</t>
  </si>
  <si>
    <t>Aggregated Solar NH</t>
  </si>
  <si>
    <t>Aggregated Solar ZH</t>
  </si>
  <si>
    <t>Aggregated Solar ZL</t>
  </si>
  <si>
    <t>Aggregated Solar FL</t>
  </si>
  <si>
    <t>Aggregated Solar GL</t>
  </si>
  <si>
    <t>Aggregated Solar GR</t>
  </si>
  <si>
    <t>Aggregated Solar FR</t>
  </si>
  <si>
    <t>Aggregated Solar DR</t>
  </si>
  <si>
    <t>Aggregated Solar OV</t>
  </si>
  <si>
    <t>Aggregated Solar LI</t>
  </si>
  <si>
    <t>Aggregated Solar NB</t>
  </si>
  <si>
    <t>Aggregated Solar UT</t>
  </si>
  <si>
    <t>Vattenfall I&amp;II Hollandse Kust Zuid</t>
  </si>
  <si>
    <t>Vattenfall III&amp;IV Hollandse Kust Zuid</t>
  </si>
  <si>
    <t>CrossWind Hollandse Kust Noord</t>
  </si>
  <si>
    <t>Ecowende Hollandse Kust West</t>
  </si>
  <si>
    <t>Oranje Wind Power II Hollandse kust West</t>
  </si>
  <si>
    <t>Site VIII Hollandse kust West</t>
  </si>
  <si>
    <t>Orsted I&amp;II Borssele</t>
  </si>
  <si>
    <t>Blauwwind Borssele</t>
  </si>
  <si>
    <t>Two Towers Borssele</t>
  </si>
  <si>
    <t>Beta Zeevonk II Ijmuiden Ver</t>
  </si>
  <si>
    <t>Alpha Noordzeker Ijmuiden Ver</t>
  </si>
  <si>
    <t>Gamma A&amp;B Ijmuiden Ver</t>
  </si>
  <si>
    <t>Doordewind</t>
  </si>
  <si>
    <t>Kroningswind B.V. Melissant</t>
  </si>
  <si>
    <t>Vattenfall Ijsselmeer Dronten</t>
  </si>
  <si>
    <t>Energiepark Pottendijk Nieuw-Weerdinge</t>
  </si>
  <si>
    <t>BEE Stadskanaal</t>
  </si>
  <si>
    <t>BEE Lelystad</t>
  </si>
  <si>
    <t>Zonnepark Dornhout Mees Dronten</t>
  </si>
  <si>
    <t>Thijs van Oirschot Duurzaam Hilvarenbeek</t>
  </si>
  <si>
    <t>Zonnepark Overbetuwe Elst Gld</t>
  </si>
  <si>
    <t>CEE Zonnepark Fledderbosch Ten Boer</t>
  </si>
  <si>
    <t>Zonnepark Winterswijk Masterveldweg</t>
  </si>
  <si>
    <t>Solar-EP III Almelo</t>
  </si>
  <si>
    <t>Zon Noordelijk Flevoland Marknesse</t>
  </si>
  <si>
    <t>Zonnepark Aardbrandsven Budel</t>
  </si>
  <si>
    <t>Eneco Solar Ossendrecht</t>
  </si>
  <si>
    <t>Tpsolar Zuidvelde Norg</t>
  </si>
  <si>
    <t>Pure Energie ZP De Eendracht Nieuw-Vossemeer</t>
  </si>
  <si>
    <t>Zonnepark Eekerweg Meeden</t>
  </si>
  <si>
    <t>Westermeerweg Zon Espel 1</t>
  </si>
  <si>
    <t>Zonnepark Bellingwolde</t>
  </si>
  <si>
    <t>Energielandgoed Wells Meer Zon Bergen L</t>
  </si>
  <si>
    <t>Zonnepark Eekerweg Scheemda</t>
  </si>
  <si>
    <t>Peesterzon Norg</t>
  </si>
  <si>
    <t>DEPB Boxmeer</t>
  </si>
  <si>
    <t>Westermeerweg Zon Espel 2</t>
  </si>
  <si>
    <t>Zon Noordermeerdijk Rutten</t>
  </si>
  <si>
    <t>Enerzjyk Skûlenboarch Eastermar</t>
  </si>
  <si>
    <t>Zonnepark Budel Dorplein II</t>
  </si>
  <si>
    <t>Solar Park Hoofddorp A5</t>
  </si>
  <si>
    <t>De Groene Energie Corridor Zwanenburg</t>
  </si>
  <si>
    <t>Zonnepark Woudbloem Slochteren</t>
  </si>
  <si>
    <t>Nederwiek 1</t>
  </si>
  <si>
    <t>Nederwiek 2</t>
  </si>
  <si>
    <t>380kV Belgium - Maasbracht</t>
  </si>
  <si>
    <t>RLL-TB380-A</t>
  </si>
  <si>
    <t>RLL-TB380-B</t>
  </si>
  <si>
    <t>GT-HLS380-W</t>
  </si>
  <si>
    <t>GT-HLS380-Z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</si>
</sst>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3" fillId="0" borderId="0" xfId="0" applyFont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0" fillId="8" borderId="0" xfId="0" applyFill="1"/>
    <xf numFmtId="0" fontId="1" fillId="0" borderId="0" xfId="0" applyFont="1"/>
    <xf numFmtId="0" fontId="4" fillId="0" borderId="0" xfId="0" applyFo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4" fillId="11" borderId="0" xfId="0" applyFont="1" applyFill="1"/>
    <xf numFmtId="0" fontId="0" fillId="14" borderId="0" xfId="0" applyFill="1"/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workbookViewId="0">
      <pane ySplit="1" topLeftCell="A29" activePane="bottomLeft" state="frozen"/>
      <selection pane="bottomLeft" activeCell="D46" sqref="D46"/>
    </sheetView>
  </sheetViews>
  <sheetFormatPr defaultColWidth="8.85546875" defaultRowHeight="15" x14ac:dyDescent="0.25"/>
  <sheetData>
    <row r="1" spans="1:14" x14ac:dyDescent="0.25">
      <c r="A1" s="1" t="s">
        <v>13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</v>
      </c>
      <c r="C2">
        <v>1</v>
      </c>
      <c r="D2" t="s">
        <v>56</v>
      </c>
      <c r="E2">
        <v>220</v>
      </c>
      <c r="F2">
        <v>1.05</v>
      </c>
      <c r="G2">
        <v>0.95</v>
      </c>
      <c r="J2">
        <v>6.8741753418525402</v>
      </c>
      <c r="K2">
        <v>53.424450347563798</v>
      </c>
    </row>
    <row r="3" spans="1:14" x14ac:dyDescent="0.25">
      <c r="A3" s="1">
        <v>1</v>
      </c>
      <c r="B3">
        <v>1</v>
      </c>
      <c r="C3">
        <v>1</v>
      </c>
      <c r="D3" t="s">
        <v>57</v>
      </c>
      <c r="E3">
        <v>220</v>
      </c>
      <c r="F3">
        <v>1.05</v>
      </c>
      <c r="G3">
        <v>0.95</v>
      </c>
      <c r="J3">
        <v>5.8111360417209097</v>
      </c>
      <c r="K3">
        <v>52.6185276050699</v>
      </c>
    </row>
    <row r="4" spans="1:14" x14ac:dyDescent="0.25">
      <c r="A4" s="1">
        <v>2</v>
      </c>
      <c r="B4">
        <v>2</v>
      </c>
      <c r="C4">
        <v>1</v>
      </c>
      <c r="D4" t="s">
        <v>58</v>
      </c>
      <c r="E4">
        <v>220</v>
      </c>
      <c r="F4">
        <v>1.05</v>
      </c>
      <c r="G4">
        <v>0.95</v>
      </c>
      <c r="J4">
        <v>6.1883993615289503</v>
      </c>
      <c r="K4">
        <v>52.532048142907001</v>
      </c>
    </row>
    <row r="5" spans="1:14" x14ac:dyDescent="0.25">
      <c r="A5" s="1">
        <v>3</v>
      </c>
      <c r="B5">
        <v>3</v>
      </c>
      <c r="C5">
        <v>1</v>
      </c>
      <c r="D5" t="s">
        <v>59</v>
      </c>
      <c r="E5">
        <v>220</v>
      </c>
      <c r="F5">
        <v>1.05</v>
      </c>
      <c r="G5">
        <v>0.95</v>
      </c>
      <c r="J5">
        <v>5.8772614710807396</v>
      </c>
      <c r="K5">
        <v>53.1899731328351</v>
      </c>
    </row>
    <row r="6" spans="1:14" x14ac:dyDescent="0.25">
      <c r="A6" s="1">
        <v>4</v>
      </c>
      <c r="B6">
        <v>4</v>
      </c>
      <c r="C6">
        <v>1</v>
      </c>
      <c r="D6" t="s">
        <v>60</v>
      </c>
      <c r="E6">
        <v>220</v>
      </c>
      <c r="F6">
        <v>1.05</v>
      </c>
      <c r="G6">
        <v>0.95</v>
      </c>
      <c r="J6">
        <v>6.9463037007553901</v>
      </c>
      <c r="K6">
        <v>53.123551284554601</v>
      </c>
    </row>
    <row r="7" spans="1:14" x14ac:dyDescent="0.25">
      <c r="A7" s="1">
        <v>5</v>
      </c>
      <c r="B7">
        <v>5</v>
      </c>
      <c r="C7">
        <v>1</v>
      </c>
      <c r="D7" t="s">
        <v>61</v>
      </c>
      <c r="E7">
        <v>220</v>
      </c>
      <c r="F7">
        <v>1.05</v>
      </c>
      <c r="G7">
        <v>0.95</v>
      </c>
      <c r="J7">
        <v>5.8733149947958596</v>
      </c>
      <c r="K7">
        <v>52.973899573106102</v>
      </c>
    </row>
    <row r="8" spans="1:14" x14ac:dyDescent="0.25">
      <c r="A8" s="1">
        <v>6</v>
      </c>
      <c r="B8">
        <v>6</v>
      </c>
      <c r="C8">
        <v>1</v>
      </c>
      <c r="D8" t="s">
        <v>62</v>
      </c>
      <c r="E8">
        <v>220</v>
      </c>
      <c r="F8">
        <v>1.05</v>
      </c>
      <c r="G8">
        <v>0.95</v>
      </c>
      <c r="J8">
        <v>6.87387951041325</v>
      </c>
      <c r="K8">
        <v>53.424161379257903</v>
      </c>
    </row>
    <row r="9" spans="1:14" x14ac:dyDescent="0.25">
      <c r="A9" s="1">
        <v>7</v>
      </c>
      <c r="B9">
        <v>7</v>
      </c>
      <c r="C9">
        <v>1</v>
      </c>
      <c r="D9" t="s">
        <v>63</v>
      </c>
      <c r="E9">
        <v>220</v>
      </c>
      <c r="F9">
        <v>1.05</v>
      </c>
      <c r="G9">
        <v>0.95</v>
      </c>
      <c r="J9">
        <v>6.4748641287746498</v>
      </c>
      <c r="K9">
        <v>53.210517280005398</v>
      </c>
    </row>
    <row r="10" spans="1:14" x14ac:dyDescent="0.25">
      <c r="A10" s="1">
        <v>8</v>
      </c>
      <c r="B10">
        <v>8</v>
      </c>
      <c r="C10">
        <v>1</v>
      </c>
      <c r="D10" t="s">
        <v>64</v>
      </c>
      <c r="E10">
        <v>220</v>
      </c>
      <c r="F10">
        <v>1.05</v>
      </c>
      <c r="G10">
        <v>0.95</v>
      </c>
      <c r="J10">
        <v>6.9576607136134196</v>
      </c>
      <c r="K10">
        <v>53.302216316255603</v>
      </c>
    </row>
    <row r="11" spans="1:14" x14ac:dyDescent="0.25">
      <c r="A11" s="9">
        <v>9</v>
      </c>
      <c r="B11" s="10">
        <v>9</v>
      </c>
      <c r="C11" s="10">
        <v>1</v>
      </c>
      <c r="D11" s="10" t="s">
        <v>65</v>
      </c>
      <c r="E11" s="10">
        <v>220</v>
      </c>
      <c r="F11" s="10">
        <v>1.05</v>
      </c>
      <c r="G11" s="10">
        <v>0.95</v>
      </c>
      <c r="H11" s="10"/>
      <c r="I11" s="10"/>
      <c r="J11" s="10">
        <v>6.5227311161215198</v>
      </c>
      <c r="K11" s="10">
        <v>53.009138205886401</v>
      </c>
    </row>
    <row r="12" spans="1:14" x14ac:dyDescent="0.25">
      <c r="A12" s="1">
        <v>10</v>
      </c>
      <c r="B12">
        <v>10</v>
      </c>
      <c r="C12">
        <v>1</v>
      </c>
      <c r="D12" t="s">
        <v>66</v>
      </c>
      <c r="E12">
        <v>380</v>
      </c>
      <c r="F12">
        <v>1.05</v>
      </c>
      <c r="G12">
        <v>0.95</v>
      </c>
      <c r="J12">
        <v>4.98639517558777</v>
      </c>
      <c r="K12">
        <v>52.160141735408601</v>
      </c>
    </row>
    <row r="13" spans="1:14" x14ac:dyDescent="0.25">
      <c r="A13" s="1">
        <v>11</v>
      </c>
      <c r="B13">
        <v>11</v>
      </c>
      <c r="C13">
        <v>1</v>
      </c>
      <c r="D13" s="8" t="s">
        <v>67</v>
      </c>
      <c r="E13">
        <v>380</v>
      </c>
      <c r="F13">
        <v>1.05</v>
      </c>
      <c r="G13">
        <v>0.95</v>
      </c>
      <c r="J13">
        <v>3.7309742947595099</v>
      </c>
      <c r="K13">
        <v>51.433105186705497</v>
      </c>
    </row>
    <row r="14" spans="1:14" x14ac:dyDescent="0.25">
      <c r="A14" s="1">
        <v>12</v>
      </c>
      <c r="B14">
        <v>12</v>
      </c>
      <c r="C14">
        <v>1</v>
      </c>
      <c r="D14" s="8" t="s">
        <v>68</v>
      </c>
      <c r="E14">
        <v>380</v>
      </c>
      <c r="F14">
        <v>1.05</v>
      </c>
      <c r="G14">
        <v>0.95</v>
      </c>
      <c r="J14">
        <v>4.67750993239446</v>
      </c>
      <c r="K14">
        <v>52.4725733177347</v>
      </c>
    </row>
    <row r="15" spans="1:14" x14ac:dyDescent="0.25">
      <c r="A15" s="1">
        <v>13</v>
      </c>
      <c r="B15">
        <v>13</v>
      </c>
      <c r="C15">
        <v>1</v>
      </c>
      <c r="D15" s="8" t="s">
        <v>69</v>
      </c>
      <c r="E15">
        <v>380</v>
      </c>
      <c r="F15">
        <v>1.05</v>
      </c>
      <c r="G15">
        <v>0.95</v>
      </c>
      <c r="J15">
        <v>4.5329988026835899</v>
      </c>
      <c r="K15">
        <v>52.035745464765498</v>
      </c>
    </row>
    <row r="16" spans="1:14" x14ac:dyDescent="0.25">
      <c r="A16" s="1">
        <v>14</v>
      </c>
      <c r="B16">
        <v>14</v>
      </c>
      <c r="C16">
        <v>1</v>
      </c>
      <c r="D16" s="8" t="s">
        <v>70</v>
      </c>
      <c r="E16">
        <v>380</v>
      </c>
      <c r="F16">
        <v>1.05</v>
      </c>
      <c r="G16">
        <v>0.95</v>
      </c>
      <c r="J16">
        <v>4.7499228404801501</v>
      </c>
      <c r="K16">
        <v>51.812743207555201</v>
      </c>
    </row>
    <row r="17" spans="1:11" x14ac:dyDescent="0.25">
      <c r="A17" s="1">
        <v>15</v>
      </c>
      <c r="B17">
        <v>15</v>
      </c>
      <c r="C17">
        <v>1</v>
      </c>
      <c r="D17" s="8" t="s">
        <v>71</v>
      </c>
      <c r="E17">
        <v>380</v>
      </c>
      <c r="F17">
        <v>1.05</v>
      </c>
      <c r="G17">
        <v>0.95</v>
      </c>
      <c r="J17">
        <v>5.0159516605650696</v>
      </c>
      <c r="K17">
        <v>52.337667341543103</v>
      </c>
    </row>
    <row r="18" spans="1:11" x14ac:dyDescent="0.25">
      <c r="A18" s="1">
        <v>16</v>
      </c>
      <c r="B18">
        <v>16</v>
      </c>
      <c r="C18">
        <v>1</v>
      </c>
      <c r="D18" s="8" t="s">
        <v>72</v>
      </c>
      <c r="E18">
        <v>380</v>
      </c>
      <c r="F18">
        <v>1.05</v>
      </c>
      <c r="G18">
        <v>0.95</v>
      </c>
      <c r="J18">
        <v>5.66206716478092</v>
      </c>
      <c r="K18">
        <v>51.926531011989397</v>
      </c>
    </row>
    <row r="19" spans="1:11" x14ac:dyDescent="0.25">
      <c r="A19" s="1">
        <v>17</v>
      </c>
      <c r="B19">
        <v>17</v>
      </c>
      <c r="C19">
        <v>1</v>
      </c>
      <c r="D19" s="8" t="s">
        <v>73</v>
      </c>
      <c r="E19">
        <v>380</v>
      </c>
      <c r="F19">
        <v>1.05</v>
      </c>
      <c r="G19">
        <v>0.95</v>
      </c>
      <c r="J19">
        <v>6.2500878799822397</v>
      </c>
      <c r="K19">
        <v>51.980562127695599</v>
      </c>
    </row>
    <row r="20" spans="1:11" x14ac:dyDescent="0.25">
      <c r="A20" s="1">
        <v>18</v>
      </c>
      <c r="B20">
        <v>18</v>
      </c>
      <c r="C20">
        <v>1</v>
      </c>
      <c r="D20" s="8" t="s">
        <v>74</v>
      </c>
      <c r="E20">
        <v>380</v>
      </c>
      <c r="F20">
        <v>1.05</v>
      </c>
      <c r="G20">
        <v>0.95</v>
      </c>
      <c r="J20">
        <v>6.8740854573509598</v>
      </c>
      <c r="K20">
        <v>53.426045615282199</v>
      </c>
    </row>
    <row r="21" spans="1:11" x14ac:dyDescent="0.25">
      <c r="A21" s="1">
        <v>19</v>
      </c>
      <c r="B21">
        <v>19</v>
      </c>
      <c r="C21">
        <v>1</v>
      </c>
      <c r="D21" s="8" t="s">
        <v>75</v>
      </c>
      <c r="E21">
        <v>380</v>
      </c>
      <c r="F21">
        <v>1.05</v>
      </c>
      <c r="G21">
        <v>0.95</v>
      </c>
      <c r="J21">
        <v>5.5311222109938001</v>
      </c>
      <c r="K21">
        <v>51.448019248763302</v>
      </c>
    </row>
    <row r="22" spans="1:11" x14ac:dyDescent="0.25">
      <c r="A22" s="1">
        <v>20</v>
      </c>
      <c r="B22">
        <v>20</v>
      </c>
      <c r="C22">
        <v>1</v>
      </c>
      <c r="D22" s="8" t="s">
        <v>76</v>
      </c>
      <c r="E22">
        <v>380</v>
      </c>
      <c r="F22">
        <v>1.05</v>
      </c>
      <c r="G22">
        <v>0.95</v>
      </c>
      <c r="J22">
        <v>5.8100554232881203</v>
      </c>
      <c r="K22">
        <v>52.616037077495797</v>
      </c>
    </row>
    <row r="23" spans="1:11" x14ac:dyDescent="0.25">
      <c r="A23" s="1">
        <v>21</v>
      </c>
      <c r="B23">
        <v>21</v>
      </c>
      <c r="C23">
        <v>1</v>
      </c>
      <c r="D23" s="8" t="s">
        <v>77</v>
      </c>
      <c r="E23">
        <v>380</v>
      </c>
      <c r="F23">
        <v>1.05</v>
      </c>
      <c r="G23">
        <v>0.95</v>
      </c>
      <c r="J23">
        <v>6.8636609167040197</v>
      </c>
      <c r="K23">
        <v>53.436465567222697</v>
      </c>
    </row>
    <row r="24" spans="1:11" x14ac:dyDescent="0.25">
      <c r="A24" s="1">
        <v>22</v>
      </c>
      <c r="B24">
        <v>22</v>
      </c>
      <c r="C24">
        <v>1</v>
      </c>
      <c r="D24" s="8" t="s">
        <v>78</v>
      </c>
      <c r="E24">
        <v>380</v>
      </c>
      <c r="F24">
        <v>1.05</v>
      </c>
      <c r="G24">
        <v>0.95</v>
      </c>
      <c r="J24">
        <v>4.8345543452357997</v>
      </c>
      <c r="K24">
        <v>51.701497333879601</v>
      </c>
    </row>
    <row r="25" spans="1:11" x14ac:dyDescent="0.25">
      <c r="A25" s="1">
        <v>23</v>
      </c>
      <c r="B25">
        <v>23</v>
      </c>
      <c r="C25">
        <v>1</v>
      </c>
      <c r="D25" s="8" t="s">
        <v>79</v>
      </c>
      <c r="E25">
        <v>380</v>
      </c>
      <c r="F25">
        <v>1.05</v>
      </c>
      <c r="G25">
        <v>0.95</v>
      </c>
      <c r="J25">
        <v>6.75671639678679</v>
      </c>
      <c r="K25">
        <v>52.247883039638097</v>
      </c>
    </row>
    <row r="26" spans="1:11" x14ac:dyDescent="0.25">
      <c r="A26" s="1">
        <v>24</v>
      </c>
      <c r="B26">
        <v>24</v>
      </c>
      <c r="C26">
        <v>1</v>
      </c>
      <c r="D26" s="8" t="s">
        <v>80</v>
      </c>
      <c r="E26">
        <v>380</v>
      </c>
      <c r="F26">
        <v>1.05</v>
      </c>
      <c r="G26">
        <v>0.95</v>
      </c>
      <c r="J26">
        <v>4.6297180927097603</v>
      </c>
      <c r="K26">
        <v>51.913488247174698</v>
      </c>
    </row>
    <row r="27" spans="1:11" x14ac:dyDescent="0.25">
      <c r="A27" s="1">
        <v>25</v>
      </c>
      <c r="B27">
        <v>25</v>
      </c>
      <c r="C27">
        <v>1</v>
      </c>
      <c r="D27" s="8" t="s">
        <v>81</v>
      </c>
      <c r="E27">
        <v>380</v>
      </c>
      <c r="F27">
        <v>1.05</v>
      </c>
      <c r="G27">
        <v>0.95</v>
      </c>
      <c r="J27">
        <v>5.5408071313559297</v>
      </c>
      <c r="K27">
        <v>52.577122880197102</v>
      </c>
    </row>
    <row r="28" spans="1:11" x14ac:dyDescent="0.25">
      <c r="A28" s="1">
        <v>26</v>
      </c>
      <c r="B28">
        <v>26</v>
      </c>
      <c r="C28">
        <v>1</v>
      </c>
      <c r="D28" s="8" t="s">
        <v>82</v>
      </c>
      <c r="E28">
        <v>380</v>
      </c>
      <c r="F28">
        <v>1.05</v>
      </c>
      <c r="G28">
        <v>0.95</v>
      </c>
      <c r="J28">
        <v>5.9159697115685299</v>
      </c>
      <c r="K28">
        <v>51.149227746092102</v>
      </c>
    </row>
    <row r="29" spans="1:11" x14ac:dyDescent="0.25">
      <c r="A29" s="1">
        <v>27</v>
      </c>
      <c r="B29">
        <v>27</v>
      </c>
      <c r="C29">
        <v>1</v>
      </c>
      <c r="D29" s="8" t="s">
        <v>83</v>
      </c>
      <c r="E29">
        <v>380</v>
      </c>
      <c r="F29">
        <v>1.05</v>
      </c>
      <c r="G29">
        <v>0.95</v>
      </c>
      <c r="J29">
        <v>6.9489727500541001</v>
      </c>
      <c r="K29">
        <v>53.123682285841902</v>
      </c>
    </row>
    <row r="30" spans="1:11" x14ac:dyDescent="0.25">
      <c r="A30" s="1">
        <v>28</v>
      </c>
      <c r="B30">
        <v>28</v>
      </c>
      <c r="C30">
        <v>1</v>
      </c>
      <c r="D30" s="8" t="s">
        <v>84</v>
      </c>
      <c r="E30">
        <v>380</v>
      </c>
      <c r="F30">
        <v>1.05</v>
      </c>
      <c r="G30">
        <v>0.95</v>
      </c>
      <c r="J30">
        <v>4.0221011689426396</v>
      </c>
      <c r="K30">
        <v>51.9538951527664</v>
      </c>
    </row>
    <row r="31" spans="1:11" x14ac:dyDescent="0.25">
      <c r="A31" s="1">
        <v>29</v>
      </c>
      <c r="B31">
        <v>29</v>
      </c>
      <c r="C31">
        <v>1</v>
      </c>
      <c r="D31" s="8" t="s">
        <v>85</v>
      </c>
      <c r="E31">
        <v>380</v>
      </c>
      <c r="F31">
        <v>1.05</v>
      </c>
      <c r="G31">
        <v>0.95</v>
      </c>
      <c r="J31">
        <v>4.8773636120236503</v>
      </c>
      <c r="K31">
        <v>52.428256814446897</v>
      </c>
    </row>
    <row r="32" spans="1:11" x14ac:dyDescent="0.25">
      <c r="A32" s="1">
        <v>30</v>
      </c>
      <c r="B32">
        <v>30</v>
      </c>
      <c r="C32">
        <v>1</v>
      </c>
      <c r="D32" t="s">
        <v>86</v>
      </c>
      <c r="E32">
        <v>380</v>
      </c>
      <c r="F32">
        <v>1.05</v>
      </c>
      <c r="G32">
        <v>0.95</v>
      </c>
      <c r="J32">
        <v>4.2202728282944602</v>
      </c>
      <c r="K32">
        <v>51.422497626952897</v>
      </c>
    </row>
    <row r="33" spans="1:11" x14ac:dyDescent="0.25">
      <c r="A33" s="1">
        <v>31</v>
      </c>
      <c r="B33">
        <v>31</v>
      </c>
      <c r="C33">
        <v>1</v>
      </c>
      <c r="D33" s="8" t="s">
        <v>87</v>
      </c>
      <c r="E33">
        <v>380</v>
      </c>
      <c r="F33">
        <v>1.05</v>
      </c>
      <c r="G33">
        <v>0.95</v>
      </c>
      <c r="J33">
        <v>4.6939580135549601</v>
      </c>
      <c r="K33">
        <v>52.374120184045204</v>
      </c>
    </row>
    <row r="34" spans="1:11" x14ac:dyDescent="0.25">
      <c r="A34" s="1">
        <v>32</v>
      </c>
      <c r="B34">
        <v>32</v>
      </c>
      <c r="C34">
        <v>1</v>
      </c>
      <c r="D34" s="8" t="s">
        <v>88</v>
      </c>
      <c r="E34">
        <v>380</v>
      </c>
      <c r="F34">
        <v>1.05</v>
      </c>
      <c r="G34">
        <v>0.95</v>
      </c>
      <c r="J34">
        <v>4.2231635105570602</v>
      </c>
      <c r="K34">
        <v>51.982499826585297</v>
      </c>
    </row>
    <row r="35" spans="1:11" x14ac:dyDescent="0.25">
      <c r="A35" s="1">
        <v>33</v>
      </c>
      <c r="B35">
        <v>33</v>
      </c>
      <c r="C35">
        <v>1</v>
      </c>
      <c r="D35" s="8" t="s">
        <v>89</v>
      </c>
      <c r="E35">
        <v>380</v>
      </c>
      <c r="F35">
        <v>1.05</v>
      </c>
      <c r="G35">
        <v>0.95</v>
      </c>
      <c r="J35">
        <v>4.30579659471322</v>
      </c>
      <c r="K35">
        <v>52.0163675723662</v>
      </c>
    </row>
    <row r="36" spans="1:11" x14ac:dyDescent="0.25">
      <c r="A36" s="1">
        <v>34</v>
      </c>
      <c r="B36">
        <v>34</v>
      </c>
      <c r="C36">
        <v>1</v>
      </c>
      <c r="D36" s="8" t="s">
        <v>90</v>
      </c>
      <c r="E36">
        <v>380</v>
      </c>
      <c r="F36">
        <v>1.05</v>
      </c>
      <c r="G36">
        <v>0.95</v>
      </c>
      <c r="J36">
        <v>6.1896608860625397</v>
      </c>
      <c r="K36">
        <v>52.5311072562519</v>
      </c>
    </row>
    <row r="37" spans="1:11" x14ac:dyDescent="0.25">
      <c r="A37" s="1">
        <v>35</v>
      </c>
      <c r="B37" s="25">
        <v>35</v>
      </c>
      <c r="C37">
        <v>1</v>
      </c>
      <c r="D37" s="25" t="s">
        <v>91</v>
      </c>
      <c r="E37">
        <v>380</v>
      </c>
      <c r="F37">
        <v>1.05</v>
      </c>
      <c r="G37">
        <v>0.95</v>
      </c>
      <c r="J37" s="25">
        <v>4.0211829999999997</v>
      </c>
      <c r="K37" s="25">
        <v>51.957417</v>
      </c>
    </row>
    <row r="38" spans="1:11" x14ac:dyDescent="0.25">
      <c r="A38" s="1">
        <v>36</v>
      </c>
      <c r="B38" s="25">
        <v>36</v>
      </c>
      <c r="C38">
        <v>1</v>
      </c>
      <c r="D38" s="25" t="s">
        <v>92</v>
      </c>
      <c r="E38">
        <v>380</v>
      </c>
      <c r="F38">
        <v>1.05</v>
      </c>
      <c r="G38">
        <v>0.95</v>
      </c>
      <c r="J38" s="25">
        <v>6.8671119999999997</v>
      </c>
      <c r="K38" s="25">
        <v>53.435696999999998</v>
      </c>
    </row>
    <row r="39" spans="1:11" x14ac:dyDescent="0.25">
      <c r="A39" s="1">
        <v>37</v>
      </c>
      <c r="B39" s="25">
        <v>37</v>
      </c>
      <c r="C39">
        <v>1</v>
      </c>
      <c r="D39" s="25" t="s">
        <v>93</v>
      </c>
      <c r="E39">
        <v>380</v>
      </c>
      <c r="F39">
        <v>1.05</v>
      </c>
      <c r="G39">
        <v>0.95</v>
      </c>
      <c r="J39" s="25">
        <v>6.8665229999999999</v>
      </c>
      <c r="K39" s="25">
        <v>53.434562</v>
      </c>
    </row>
    <row r="40" spans="1:11" x14ac:dyDescent="0.25">
      <c r="A40" s="1">
        <v>38</v>
      </c>
      <c r="B40" s="25">
        <v>38</v>
      </c>
      <c r="C40">
        <v>1</v>
      </c>
      <c r="D40" s="25" t="s">
        <v>94</v>
      </c>
      <c r="E40">
        <v>380</v>
      </c>
      <c r="F40">
        <v>1.05</v>
      </c>
      <c r="G40">
        <v>0.95</v>
      </c>
      <c r="J40" s="25">
        <v>7.1894859999999996</v>
      </c>
      <c r="K40" s="25">
        <v>53.150091000000003</v>
      </c>
    </row>
    <row r="41" spans="1:11" x14ac:dyDescent="0.25">
      <c r="A41" s="1">
        <v>39</v>
      </c>
      <c r="B41" s="25">
        <v>39</v>
      </c>
      <c r="C41">
        <v>1</v>
      </c>
      <c r="D41" s="25" t="s">
        <v>95</v>
      </c>
      <c r="E41">
        <v>380</v>
      </c>
      <c r="F41">
        <v>1.05</v>
      </c>
      <c r="G41">
        <v>0.95</v>
      </c>
      <c r="J41" s="25">
        <v>6.9627559999999997</v>
      </c>
      <c r="K41" s="25">
        <v>52.194516999999998</v>
      </c>
    </row>
    <row r="42" spans="1:11" x14ac:dyDescent="0.25">
      <c r="A42" s="1">
        <v>40</v>
      </c>
      <c r="B42" s="25">
        <v>40</v>
      </c>
      <c r="C42">
        <v>1</v>
      </c>
      <c r="D42" s="25" t="s">
        <v>96</v>
      </c>
      <c r="E42">
        <v>380</v>
      </c>
      <c r="F42">
        <v>1.05</v>
      </c>
      <c r="G42">
        <v>0.95</v>
      </c>
      <c r="J42" s="25">
        <v>6.4496079999999996</v>
      </c>
      <c r="K42" s="25">
        <v>51.865383999999999</v>
      </c>
    </row>
    <row r="43" spans="1:11" x14ac:dyDescent="0.25">
      <c r="A43" s="1">
        <v>41</v>
      </c>
      <c r="B43" s="25">
        <v>41</v>
      </c>
      <c r="C43">
        <v>1</v>
      </c>
      <c r="D43" s="25" t="s">
        <v>97</v>
      </c>
      <c r="E43">
        <v>380</v>
      </c>
      <c r="F43">
        <v>1.05</v>
      </c>
      <c r="G43">
        <v>0.95</v>
      </c>
      <c r="J43" s="25">
        <v>6.0398350000000001</v>
      </c>
      <c r="K43" s="25">
        <v>51.098849000000001</v>
      </c>
    </row>
    <row r="44" spans="1:11" x14ac:dyDescent="0.25">
      <c r="A44" s="1">
        <v>42</v>
      </c>
      <c r="B44" s="25">
        <v>42</v>
      </c>
      <c r="C44">
        <v>1</v>
      </c>
      <c r="D44" s="25" t="s">
        <v>98</v>
      </c>
      <c r="E44">
        <v>380</v>
      </c>
      <c r="F44">
        <v>1.05</v>
      </c>
      <c r="G44">
        <v>0.95</v>
      </c>
      <c r="J44" s="25">
        <v>6.0396979999999996</v>
      </c>
      <c r="K44" s="25">
        <v>51.098717000000001</v>
      </c>
    </row>
    <row r="45" spans="1:11" x14ac:dyDescent="0.25">
      <c r="A45" s="1">
        <v>43</v>
      </c>
      <c r="B45" s="25">
        <v>43</v>
      </c>
      <c r="C45">
        <v>1</v>
      </c>
      <c r="D45" s="25" t="s">
        <v>99</v>
      </c>
      <c r="E45">
        <v>380</v>
      </c>
      <c r="F45">
        <v>1.05</v>
      </c>
      <c r="G45">
        <v>0.95</v>
      </c>
      <c r="J45" s="25">
        <v>5.814349</v>
      </c>
      <c r="K45" s="25">
        <v>51.120961000000001</v>
      </c>
    </row>
    <row r="46" spans="1:11" x14ac:dyDescent="0.25">
      <c r="A46" s="1">
        <v>44</v>
      </c>
      <c r="B46" s="25">
        <v>44</v>
      </c>
      <c r="C46">
        <v>1</v>
      </c>
      <c r="D46" s="25" t="s">
        <v>100</v>
      </c>
      <c r="E46">
        <v>380</v>
      </c>
      <c r="F46">
        <v>1.05</v>
      </c>
      <c r="G46">
        <v>0.95</v>
      </c>
      <c r="J46" s="25">
        <v>4.2481210000000003</v>
      </c>
      <c r="K46" s="25">
        <v>51.375079999999997</v>
      </c>
    </row>
    <row r="47" spans="1:11" x14ac:dyDescent="0.25">
      <c r="A47" s="11">
        <v>45</v>
      </c>
      <c r="B47">
        <v>45</v>
      </c>
      <c r="C47">
        <v>1</v>
      </c>
      <c r="D47" t="s">
        <v>269</v>
      </c>
      <c r="E47">
        <v>380</v>
      </c>
      <c r="F47">
        <v>1.05</v>
      </c>
      <c r="G47">
        <v>0.95</v>
      </c>
      <c r="J47">
        <v>6.4748641287746498</v>
      </c>
      <c r="K47">
        <v>53.210517280005398</v>
      </c>
    </row>
    <row r="48" spans="1:11" x14ac:dyDescent="0.25">
      <c r="A48" s="11">
        <v>46</v>
      </c>
      <c r="B48">
        <v>46</v>
      </c>
      <c r="C48">
        <v>1</v>
      </c>
      <c r="D48" t="s">
        <v>270</v>
      </c>
      <c r="E48">
        <v>380</v>
      </c>
      <c r="F48">
        <v>1.05</v>
      </c>
      <c r="G48">
        <v>0.95</v>
      </c>
      <c r="J48">
        <v>5.0630367445841697</v>
      </c>
      <c r="K48">
        <v>51.6077291195041</v>
      </c>
    </row>
    <row r="49" spans="1:11" x14ac:dyDescent="0.25">
      <c r="A49" s="11">
        <v>47</v>
      </c>
      <c r="B49">
        <v>47</v>
      </c>
      <c r="C49">
        <v>1</v>
      </c>
      <c r="D49" t="s">
        <v>271</v>
      </c>
      <c r="E49">
        <v>380</v>
      </c>
      <c r="F49">
        <v>1.05</v>
      </c>
      <c r="G49">
        <v>0.95</v>
      </c>
      <c r="J49">
        <v>7.0478993348422296</v>
      </c>
      <c r="K49">
        <v>52.922301878571702</v>
      </c>
    </row>
    <row r="50" spans="1:11" x14ac:dyDescent="0.25">
      <c r="A50" s="11">
        <v>48</v>
      </c>
      <c r="B50">
        <v>48</v>
      </c>
      <c r="C50">
        <v>1</v>
      </c>
      <c r="D50" s="6" t="s">
        <v>272</v>
      </c>
      <c r="E50">
        <v>380</v>
      </c>
      <c r="F50">
        <v>1.05</v>
      </c>
      <c r="G50">
        <v>0.95</v>
      </c>
      <c r="J50">
        <v>5.7497630916419702</v>
      </c>
      <c r="K50">
        <v>51.813274290342903</v>
      </c>
    </row>
    <row r="51" spans="1:11" x14ac:dyDescent="0.25">
      <c r="A51" s="11">
        <v>49</v>
      </c>
      <c r="B51">
        <v>49</v>
      </c>
      <c r="C51">
        <v>1</v>
      </c>
      <c r="D51" t="s">
        <v>273</v>
      </c>
      <c r="E51">
        <v>380</v>
      </c>
      <c r="F51">
        <v>1.05</v>
      </c>
      <c r="G51">
        <v>0.95</v>
      </c>
      <c r="J51">
        <v>5.2651663214764097</v>
      </c>
      <c r="K51">
        <v>52.361516767917898</v>
      </c>
    </row>
    <row r="52" spans="1:11" x14ac:dyDescent="0.25">
      <c r="A52" s="11">
        <v>50</v>
      </c>
      <c r="B52">
        <v>50</v>
      </c>
      <c r="C52">
        <v>1</v>
      </c>
      <c r="D52" s="6" t="s">
        <v>274</v>
      </c>
      <c r="E52">
        <v>380</v>
      </c>
      <c r="F52">
        <v>1.05</v>
      </c>
      <c r="G52">
        <v>0.95</v>
      </c>
      <c r="J52">
        <v>4.2366160816946099</v>
      </c>
      <c r="K52">
        <v>51.521655700782198</v>
      </c>
    </row>
    <row r="53" spans="1:11" x14ac:dyDescent="0.25">
      <c r="A53" s="11">
        <v>51</v>
      </c>
      <c r="B53">
        <v>51</v>
      </c>
      <c r="C53">
        <v>1</v>
      </c>
      <c r="D53" t="s">
        <v>275</v>
      </c>
      <c r="E53">
        <v>380</v>
      </c>
      <c r="F53">
        <v>1.05</v>
      </c>
      <c r="G53">
        <v>0.95</v>
      </c>
      <c r="J53">
        <v>4.1460486959609497</v>
      </c>
      <c r="K53">
        <v>51.939058540496099</v>
      </c>
    </row>
    <row r="54" spans="1:11" x14ac:dyDescent="0.25">
      <c r="A54" s="11">
        <v>52</v>
      </c>
      <c r="B54">
        <v>52</v>
      </c>
      <c r="C54">
        <v>1</v>
      </c>
      <c r="D54" s="6" t="s">
        <v>276</v>
      </c>
      <c r="E54">
        <v>380</v>
      </c>
      <c r="F54">
        <v>1.05</v>
      </c>
      <c r="G54">
        <v>0.95</v>
      </c>
      <c r="J54">
        <v>6.8348261628314999</v>
      </c>
      <c r="K54">
        <v>52.7289205747282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E338-4537-4635-BAF8-0A7308D9FEE4}">
  <dimension ref="A1:K47"/>
  <sheetViews>
    <sheetView topLeftCell="A34" zoomScale="103" workbookViewId="0">
      <selection activeCell="G37" sqref="G37:G46"/>
    </sheetView>
  </sheetViews>
  <sheetFormatPr defaultRowHeight="15" x14ac:dyDescent="0.25"/>
  <cols>
    <col min="4" max="4" width="43.5703125" bestFit="1" customWidth="1"/>
  </cols>
  <sheetData>
    <row r="1" spans="1:11" x14ac:dyDescent="0.25">
      <c r="A1" s="14" t="s">
        <v>13</v>
      </c>
      <c r="B1" s="14" t="s">
        <v>0</v>
      </c>
      <c r="C1" s="14" t="s">
        <v>1</v>
      </c>
      <c r="D1" s="15" t="s">
        <v>2</v>
      </c>
      <c r="E1" s="15" t="s">
        <v>14</v>
      </c>
      <c r="F1" s="15" t="s">
        <v>3</v>
      </c>
      <c r="G1" s="16" t="s">
        <v>15</v>
      </c>
      <c r="H1" s="16" t="s">
        <v>16</v>
      </c>
      <c r="I1" s="16" t="s">
        <v>4</v>
      </c>
      <c r="J1" s="16" t="s">
        <v>5</v>
      </c>
      <c r="K1" s="14" t="s">
        <v>12</v>
      </c>
    </row>
    <row r="2" spans="1:11" x14ac:dyDescent="0.25">
      <c r="A2" s="14">
        <v>0</v>
      </c>
      <c r="B2">
        <v>0</v>
      </c>
      <c r="C2">
        <v>1</v>
      </c>
      <c r="D2" t="s">
        <v>58</v>
      </c>
      <c r="E2">
        <v>2</v>
      </c>
      <c r="F2">
        <v>220</v>
      </c>
      <c r="G2" s="7">
        <v>0.12761834446067727</v>
      </c>
      <c r="H2" s="7">
        <v>4.1946121353465642E-2</v>
      </c>
    </row>
    <row r="3" spans="1:11" x14ac:dyDescent="0.25">
      <c r="A3" s="14">
        <v>1</v>
      </c>
      <c r="B3">
        <v>1</v>
      </c>
      <c r="C3">
        <v>1</v>
      </c>
      <c r="D3" t="s">
        <v>59</v>
      </c>
      <c r="E3">
        <v>3</v>
      </c>
      <c r="F3">
        <v>220</v>
      </c>
      <c r="G3" s="7">
        <v>0.31197481664697946</v>
      </c>
      <c r="H3" s="7">
        <v>0.10254116344795236</v>
      </c>
    </row>
    <row r="4" spans="1:11" x14ac:dyDescent="0.25">
      <c r="A4" s="14">
        <v>2</v>
      </c>
      <c r="B4">
        <v>2</v>
      </c>
      <c r="C4">
        <v>1</v>
      </c>
      <c r="D4" t="s">
        <v>60</v>
      </c>
      <c r="E4">
        <v>4</v>
      </c>
      <c r="F4">
        <v>220</v>
      </c>
      <c r="G4" s="7">
        <v>0.10633570287886729</v>
      </c>
      <c r="H4" s="7">
        <v>3.4950855349305969E-2</v>
      </c>
    </row>
    <row r="5" spans="1:11" x14ac:dyDescent="0.25">
      <c r="A5" s="14">
        <v>3</v>
      </c>
      <c r="B5">
        <v>3</v>
      </c>
      <c r="C5">
        <v>1</v>
      </c>
      <c r="D5" t="s">
        <v>61</v>
      </c>
      <c r="E5">
        <v>5</v>
      </c>
      <c r="F5">
        <v>220</v>
      </c>
      <c r="G5" s="7">
        <v>4.4591360535099558E-2</v>
      </c>
      <c r="H5" s="7">
        <v>1.4656471436187271E-2</v>
      </c>
    </row>
    <row r="6" spans="1:11" x14ac:dyDescent="0.25">
      <c r="A6" s="14">
        <v>4</v>
      </c>
      <c r="B6">
        <v>4</v>
      </c>
      <c r="C6">
        <v>1</v>
      </c>
      <c r="D6" t="s">
        <v>62</v>
      </c>
      <c r="E6">
        <v>6</v>
      </c>
      <c r="F6">
        <v>220</v>
      </c>
      <c r="G6" s="7">
        <v>0.3859630595951718</v>
      </c>
      <c r="H6" s="7">
        <v>0.12685992287513531</v>
      </c>
    </row>
    <row r="7" spans="1:11" x14ac:dyDescent="0.25">
      <c r="A7" s="14">
        <v>5</v>
      </c>
      <c r="B7">
        <v>5</v>
      </c>
      <c r="C7">
        <v>1</v>
      </c>
      <c r="D7" t="s">
        <v>64</v>
      </c>
      <c r="E7">
        <v>8</v>
      </c>
      <c r="F7">
        <v>220</v>
      </c>
      <c r="G7" s="7">
        <v>6.5636493145551547E-2</v>
      </c>
      <c r="H7" s="7">
        <v>2.1573672016624197E-2</v>
      </c>
    </row>
    <row r="8" spans="1:11" x14ac:dyDescent="0.25">
      <c r="A8" s="17">
        <v>6</v>
      </c>
      <c r="B8" s="10">
        <v>6</v>
      </c>
      <c r="C8" s="10">
        <v>1</v>
      </c>
      <c r="D8" s="10" t="s">
        <v>65</v>
      </c>
      <c r="E8" s="10">
        <v>9</v>
      </c>
      <c r="F8" s="10">
        <v>220</v>
      </c>
      <c r="G8" s="7">
        <v>0.21564980488186758</v>
      </c>
      <c r="H8" s="7">
        <v>7.0880663149593098E-2</v>
      </c>
    </row>
    <row r="9" spans="1:11" x14ac:dyDescent="0.25">
      <c r="A9" s="14">
        <v>7</v>
      </c>
      <c r="B9">
        <v>7</v>
      </c>
      <c r="C9">
        <v>1</v>
      </c>
      <c r="D9" t="s">
        <v>66</v>
      </c>
      <c r="E9">
        <v>10</v>
      </c>
      <c r="F9">
        <v>380</v>
      </c>
      <c r="G9" s="7">
        <v>0.63967490634554447</v>
      </c>
      <c r="H9" s="7">
        <v>0.21025097419755845</v>
      </c>
    </row>
    <row r="10" spans="1:11" x14ac:dyDescent="0.25">
      <c r="A10" s="14">
        <v>8</v>
      </c>
      <c r="B10">
        <v>8</v>
      </c>
      <c r="C10">
        <v>1</v>
      </c>
      <c r="D10" t="s">
        <v>67</v>
      </c>
      <c r="E10">
        <v>11</v>
      </c>
      <c r="F10">
        <v>380</v>
      </c>
      <c r="G10" s="7">
        <v>0.2682603548536891</v>
      </c>
      <c r="H10" s="7">
        <v>8.8172914690049106E-2</v>
      </c>
    </row>
    <row r="11" spans="1:11" x14ac:dyDescent="0.25">
      <c r="A11" s="14">
        <v>9</v>
      </c>
      <c r="B11">
        <v>9</v>
      </c>
      <c r="C11">
        <v>1</v>
      </c>
      <c r="D11" t="s">
        <v>68</v>
      </c>
      <c r="E11">
        <v>12</v>
      </c>
      <c r="F11">
        <v>380</v>
      </c>
      <c r="G11" s="7">
        <v>0.1972154645016892</v>
      </c>
      <c r="H11" s="7">
        <v>6.4821588477171579E-2</v>
      </c>
    </row>
    <row r="12" spans="1:11" x14ac:dyDescent="0.25">
      <c r="A12" s="14">
        <v>10</v>
      </c>
      <c r="B12">
        <v>10</v>
      </c>
      <c r="C12">
        <v>1</v>
      </c>
      <c r="D12" t="s">
        <v>69</v>
      </c>
      <c r="E12">
        <v>13</v>
      </c>
      <c r="F12">
        <v>380</v>
      </c>
      <c r="G12" s="7">
        <v>8.1419433717082976E-2</v>
      </c>
      <c r="H12" s="7">
        <v>2.6761273715469186E-2</v>
      </c>
    </row>
    <row r="13" spans="1:11" x14ac:dyDescent="0.25">
      <c r="A13" s="14">
        <v>11</v>
      </c>
      <c r="B13">
        <v>11</v>
      </c>
      <c r="C13">
        <v>1</v>
      </c>
      <c r="D13" t="s">
        <v>70</v>
      </c>
      <c r="E13">
        <v>14</v>
      </c>
      <c r="F13">
        <v>380</v>
      </c>
      <c r="G13" s="7">
        <v>0.10855925827312615</v>
      </c>
      <c r="H13" s="7">
        <v>3.5681702664383572E-2</v>
      </c>
    </row>
    <row r="14" spans="1:11" x14ac:dyDescent="0.25">
      <c r="A14" s="14">
        <v>12</v>
      </c>
      <c r="B14">
        <v>12</v>
      </c>
      <c r="C14">
        <v>1</v>
      </c>
      <c r="D14" t="s">
        <v>71</v>
      </c>
      <c r="E14">
        <v>15</v>
      </c>
      <c r="F14">
        <v>380</v>
      </c>
      <c r="G14" s="7">
        <v>0.18093251289236614</v>
      </c>
      <c r="H14" s="7">
        <v>5.9469641097790495E-2</v>
      </c>
    </row>
    <row r="15" spans="1:11" x14ac:dyDescent="0.25">
      <c r="A15" s="14">
        <v>13</v>
      </c>
      <c r="B15">
        <v>13</v>
      </c>
      <c r="C15">
        <v>1</v>
      </c>
      <c r="D15" t="s">
        <v>72</v>
      </c>
      <c r="E15">
        <v>16</v>
      </c>
      <c r="F15">
        <v>380</v>
      </c>
      <c r="G15" s="7">
        <v>0.21930815350204486</v>
      </c>
      <c r="H15" s="7">
        <v>7.2083104192248407E-2</v>
      </c>
    </row>
    <row r="16" spans="1:11" x14ac:dyDescent="0.25">
      <c r="A16" s="14">
        <v>14</v>
      </c>
      <c r="B16">
        <v>14</v>
      </c>
      <c r="C16">
        <v>1</v>
      </c>
      <c r="D16" t="s">
        <v>73</v>
      </c>
      <c r="E16">
        <v>17</v>
      </c>
      <c r="F16">
        <v>380</v>
      </c>
      <c r="G16" s="7">
        <v>1.1450870997217142</v>
      </c>
      <c r="H16" s="7">
        <v>0.3763719287238913</v>
      </c>
    </row>
    <row r="17" spans="1:8" x14ac:dyDescent="0.25">
      <c r="A17" s="14">
        <v>15</v>
      </c>
      <c r="B17">
        <v>15</v>
      </c>
      <c r="C17">
        <v>1</v>
      </c>
      <c r="D17" t="s">
        <v>75</v>
      </c>
      <c r="E17">
        <v>19</v>
      </c>
      <c r="F17">
        <v>380</v>
      </c>
      <c r="G17" s="7">
        <v>0.17453589462845759</v>
      </c>
      <c r="H17" s="7">
        <v>5.7367174347546936E-2</v>
      </c>
    </row>
    <row r="18" spans="1:8" x14ac:dyDescent="0.25">
      <c r="A18" s="14">
        <v>16</v>
      </c>
      <c r="B18">
        <v>16</v>
      </c>
      <c r="C18">
        <v>1</v>
      </c>
      <c r="D18" t="s">
        <v>78</v>
      </c>
      <c r="E18">
        <v>22</v>
      </c>
      <c r="F18">
        <v>380</v>
      </c>
      <c r="G18" s="7">
        <v>1.5246316736195766</v>
      </c>
      <c r="H18" s="7">
        <v>0.50112219737100316</v>
      </c>
    </row>
    <row r="19" spans="1:8" x14ac:dyDescent="0.25">
      <c r="A19" s="14">
        <v>17</v>
      </c>
      <c r="B19">
        <v>17</v>
      </c>
      <c r="C19">
        <v>1</v>
      </c>
      <c r="D19" t="s">
        <v>79</v>
      </c>
      <c r="E19">
        <v>23</v>
      </c>
      <c r="F19">
        <v>380</v>
      </c>
      <c r="G19" s="7">
        <v>8.6919134727361513E-2</v>
      </c>
      <c r="H19" s="7">
        <v>2.8568938020783873E-2</v>
      </c>
    </row>
    <row r="20" spans="1:8" x14ac:dyDescent="0.25">
      <c r="A20" s="14">
        <v>18</v>
      </c>
      <c r="B20">
        <v>18</v>
      </c>
      <c r="C20">
        <v>1</v>
      </c>
      <c r="D20" t="s">
        <v>80</v>
      </c>
      <c r="E20">
        <v>24</v>
      </c>
      <c r="F20">
        <v>380</v>
      </c>
      <c r="G20" s="7">
        <v>0.14770736014130939</v>
      </c>
      <c r="H20" s="7">
        <v>4.854906149637836E-2</v>
      </c>
    </row>
    <row r="21" spans="1:8" x14ac:dyDescent="0.25">
      <c r="A21" s="14">
        <v>19</v>
      </c>
      <c r="B21">
        <v>19</v>
      </c>
      <c r="C21">
        <v>1</v>
      </c>
      <c r="D21" t="s">
        <v>81</v>
      </c>
      <c r="E21">
        <v>25</v>
      </c>
      <c r="F21">
        <v>380</v>
      </c>
      <c r="G21" s="7">
        <v>0.25236307635476396</v>
      </c>
      <c r="H21" s="7">
        <v>8.2947731931850718E-2</v>
      </c>
    </row>
    <row r="22" spans="1:8" x14ac:dyDescent="0.25">
      <c r="A22" s="14">
        <v>20</v>
      </c>
      <c r="B22">
        <v>20</v>
      </c>
      <c r="C22">
        <v>1</v>
      </c>
      <c r="D22" t="s">
        <v>82</v>
      </c>
      <c r="E22">
        <v>26</v>
      </c>
      <c r="F22">
        <v>380</v>
      </c>
      <c r="G22" s="7">
        <v>0.88101899497293013</v>
      </c>
      <c r="H22" s="7">
        <v>0.2895769400082589</v>
      </c>
    </row>
    <row r="23" spans="1:8" x14ac:dyDescent="0.25">
      <c r="A23" s="14">
        <v>21</v>
      </c>
      <c r="B23">
        <v>21</v>
      </c>
      <c r="C23">
        <v>1</v>
      </c>
      <c r="D23" t="s">
        <v>84</v>
      </c>
      <c r="E23">
        <v>28</v>
      </c>
      <c r="F23">
        <v>380</v>
      </c>
      <c r="G23" s="7">
        <v>0.13569908282916926</v>
      </c>
      <c r="H23" s="7">
        <v>4.4602131613297943E-2</v>
      </c>
    </row>
    <row r="24" spans="1:8" x14ac:dyDescent="0.25">
      <c r="A24" s="14">
        <v>22</v>
      </c>
      <c r="B24">
        <v>22</v>
      </c>
      <c r="C24">
        <v>1</v>
      </c>
      <c r="D24" t="s">
        <v>85</v>
      </c>
      <c r="E24">
        <v>29</v>
      </c>
      <c r="F24">
        <v>380</v>
      </c>
      <c r="G24" s="7">
        <v>2.1131089920255723</v>
      </c>
      <c r="H24" s="7">
        <v>0.69454533818933495</v>
      </c>
    </row>
    <row r="25" spans="1:8" x14ac:dyDescent="0.25">
      <c r="A25" s="14">
        <v>23</v>
      </c>
      <c r="B25">
        <v>23</v>
      </c>
      <c r="C25">
        <v>1</v>
      </c>
      <c r="D25" t="s">
        <v>86</v>
      </c>
      <c r="E25">
        <v>30</v>
      </c>
      <c r="F25">
        <v>380</v>
      </c>
      <c r="G25" s="7">
        <v>0.22531810927803964</v>
      </c>
      <c r="H25" s="7">
        <v>7.4058481128645784E-2</v>
      </c>
    </row>
    <row r="26" spans="1:8" x14ac:dyDescent="0.25">
      <c r="A26" s="14">
        <v>24</v>
      </c>
      <c r="B26">
        <v>24</v>
      </c>
      <c r="C26">
        <v>1</v>
      </c>
      <c r="D26" t="s">
        <v>87</v>
      </c>
      <c r="E26">
        <v>31</v>
      </c>
      <c r="F26">
        <v>380</v>
      </c>
      <c r="G26" s="7">
        <v>9.8607732250844599E-2</v>
      </c>
      <c r="H26" s="7">
        <v>3.241079423858579E-2</v>
      </c>
    </row>
    <row r="27" spans="1:8" x14ac:dyDescent="0.25">
      <c r="A27" s="14">
        <v>25</v>
      </c>
      <c r="B27">
        <v>25</v>
      </c>
      <c r="C27">
        <v>1</v>
      </c>
      <c r="D27" t="s">
        <v>88</v>
      </c>
      <c r="E27">
        <v>32</v>
      </c>
      <c r="F27">
        <v>380</v>
      </c>
      <c r="G27" s="7">
        <v>2.0998737667227045</v>
      </c>
      <c r="H27" s="7">
        <v>0.69019513000382093</v>
      </c>
    </row>
    <row r="28" spans="1:8" x14ac:dyDescent="0.25">
      <c r="A28" s="14">
        <v>26</v>
      </c>
      <c r="B28">
        <v>26</v>
      </c>
      <c r="C28">
        <v>1</v>
      </c>
      <c r="D28" t="s">
        <v>89</v>
      </c>
      <c r="E28">
        <v>33</v>
      </c>
      <c r="F28">
        <v>380</v>
      </c>
      <c r="G28" s="7">
        <v>0.18406488304452645</v>
      </c>
      <c r="H28" s="7">
        <v>6.0499201378342284E-2</v>
      </c>
    </row>
    <row r="29" spans="1:8" x14ac:dyDescent="0.25">
      <c r="A29" s="14">
        <v>27</v>
      </c>
      <c r="B29">
        <v>27</v>
      </c>
      <c r="C29">
        <v>1</v>
      </c>
      <c r="D29" t="s">
        <v>90</v>
      </c>
      <c r="E29">
        <v>34</v>
      </c>
      <c r="F29">
        <v>380</v>
      </c>
      <c r="G29" s="7">
        <v>0.52187909794273535</v>
      </c>
      <c r="H29" s="7">
        <v>0.17153336431886029</v>
      </c>
    </row>
    <row r="30" spans="1:8" x14ac:dyDescent="0.25">
      <c r="A30" s="14">
        <v>28</v>
      </c>
      <c r="B30">
        <v>28</v>
      </c>
      <c r="C30">
        <v>1</v>
      </c>
      <c r="D30" t="s">
        <v>270</v>
      </c>
      <c r="E30">
        <v>46</v>
      </c>
      <c r="F30">
        <v>380</v>
      </c>
      <c r="G30" s="7">
        <v>0.18504105203429769</v>
      </c>
      <c r="H30" s="7">
        <v>6.0820052609248595E-2</v>
      </c>
    </row>
    <row r="31" spans="1:8" x14ac:dyDescent="0.25">
      <c r="A31" s="14">
        <v>29</v>
      </c>
      <c r="B31">
        <v>29</v>
      </c>
      <c r="C31">
        <v>1</v>
      </c>
      <c r="D31" t="s">
        <v>271</v>
      </c>
      <c r="E31">
        <v>47</v>
      </c>
      <c r="F31">
        <v>380</v>
      </c>
      <c r="G31" s="7">
        <v>6.1680350678099224E-2</v>
      </c>
      <c r="H31" s="7">
        <v>2.0273350869749532E-2</v>
      </c>
    </row>
    <row r="32" spans="1:8" x14ac:dyDescent="0.25">
      <c r="A32" s="14">
        <v>30</v>
      </c>
      <c r="B32">
        <v>30</v>
      </c>
      <c r="C32">
        <v>1</v>
      </c>
      <c r="D32" t="s">
        <v>272</v>
      </c>
      <c r="E32">
        <v>48</v>
      </c>
      <c r="F32">
        <v>380</v>
      </c>
      <c r="G32" s="7">
        <v>9.2520526017148844E-2</v>
      </c>
      <c r="H32" s="7">
        <v>3.0410026304624298E-2</v>
      </c>
    </row>
    <row r="33" spans="1:8" x14ac:dyDescent="0.25">
      <c r="A33" s="14">
        <v>31</v>
      </c>
      <c r="B33">
        <v>31</v>
      </c>
      <c r="C33">
        <v>1</v>
      </c>
      <c r="D33" t="s">
        <v>273</v>
      </c>
      <c r="E33">
        <v>49</v>
      </c>
      <c r="F33">
        <v>380</v>
      </c>
      <c r="G33" s="7">
        <v>0.12336070135619845</v>
      </c>
      <c r="H33" s="7">
        <v>4.0546701739499064E-2</v>
      </c>
    </row>
    <row r="34" spans="1:8" x14ac:dyDescent="0.25">
      <c r="A34" s="14">
        <v>32</v>
      </c>
      <c r="B34">
        <v>32</v>
      </c>
      <c r="C34">
        <v>1</v>
      </c>
      <c r="D34" t="s">
        <v>274</v>
      </c>
      <c r="E34">
        <v>50</v>
      </c>
      <c r="F34">
        <v>380</v>
      </c>
      <c r="G34" s="7">
        <v>0.18504105203429769</v>
      </c>
      <c r="H34" s="7">
        <v>6.0820052609248595E-2</v>
      </c>
    </row>
    <row r="35" spans="1:8" x14ac:dyDescent="0.25">
      <c r="A35" s="14">
        <v>33</v>
      </c>
      <c r="B35">
        <v>33</v>
      </c>
      <c r="C35">
        <v>1</v>
      </c>
      <c r="D35" t="s">
        <v>275</v>
      </c>
      <c r="E35">
        <v>51</v>
      </c>
      <c r="F35">
        <v>380</v>
      </c>
      <c r="G35" s="7">
        <v>0.24672140271239701</v>
      </c>
      <c r="H35" s="7">
        <v>8.1093403478998127E-2</v>
      </c>
    </row>
    <row r="36" spans="1:8" x14ac:dyDescent="0.25">
      <c r="A36" s="14">
        <v>34</v>
      </c>
      <c r="B36">
        <v>34</v>
      </c>
      <c r="C36">
        <v>1</v>
      </c>
      <c r="D36" t="s">
        <v>276</v>
      </c>
      <c r="E36">
        <v>52</v>
      </c>
      <c r="F36">
        <v>380</v>
      </c>
      <c r="G36" s="7">
        <v>6.1680350678099224E-2</v>
      </c>
      <c r="H36" s="7">
        <v>2.0273350869749532E-2</v>
      </c>
    </row>
    <row r="37" spans="1:8" x14ac:dyDescent="0.25">
      <c r="A37" s="14">
        <v>35</v>
      </c>
      <c r="B37">
        <v>35</v>
      </c>
      <c r="C37">
        <v>1</v>
      </c>
      <c r="D37" t="s">
        <v>253</v>
      </c>
      <c r="E37" s="25">
        <v>38</v>
      </c>
      <c r="F37">
        <v>380</v>
      </c>
      <c r="G37" s="26">
        <f>0.2996288-0.05+0.24</f>
        <v>0.48962879999999998</v>
      </c>
      <c r="H37" s="23">
        <f>TAN(ACOS(0.95))*G37</f>
        <v>0.16093320399780056</v>
      </c>
    </row>
    <row r="38" spans="1:8" x14ac:dyDescent="0.25">
      <c r="A38" s="14">
        <v>36</v>
      </c>
      <c r="B38">
        <v>36</v>
      </c>
      <c r="C38">
        <v>1</v>
      </c>
      <c r="D38" t="s">
        <v>254</v>
      </c>
      <c r="E38" s="25">
        <v>39</v>
      </c>
      <c r="F38">
        <v>380</v>
      </c>
      <c r="G38" s="26">
        <f>0.2996288-0.05+0.24</f>
        <v>0.48962879999999998</v>
      </c>
      <c r="H38" s="23">
        <f t="shared" ref="H38:H46" si="0">TAN(ACOS(0.95))*G38</f>
        <v>0.16093320399780056</v>
      </c>
    </row>
    <row r="39" spans="1:8" x14ac:dyDescent="0.25">
      <c r="A39" s="14">
        <v>37</v>
      </c>
      <c r="B39">
        <v>37</v>
      </c>
      <c r="C39">
        <v>1</v>
      </c>
      <c r="D39" t="s">
        <v>255</v>
      </c>
      <c r="E39" s="25">
        <v>41</v>
      </c>
      <c r="F39">
        <v>380</v>
      </c>
      <c r="G39" s="26">
        <f>0.2996288-0.05+0.24</f>
        <v>0.48962879999999998</v>
      </c>
      <c r="H39" s="23">
        <f t="shared" si="0"/>
        <v>0.16093320399780056</v>
      </c>
    </row>
    <row r="40" spans="1:8" x14ac:dyDescent="0.25">
      <c r="A40" s="14">
        <v>38</v>
      </c>
      <c r="B40">
        <v>38</v>
      </c>
      <c r="C40">
        <v>1</v>
      </c>
      <c r="D40" t="s">
        <v>256</v>
      </c>
      <c r="E40" s="25">
        <v>42</v>
      </c>
      <c r="F40">
        <v>380</v>
      </c>
      <c r="G40" s="26">
        <f>0.2996288-0.05+0.24</f>
        <v>0.48962879999999998</v>
      </c>
      <c r="H40" s="23">
        <f t="shared" si="0"/>
        <v>0.16093320399780056</v>
      </c>
    </row>
    <row r="41" spans="1:8" x14ac:dyDescent="0.25">
      <c r="A41" s="14">
        <v>39</v>
      </c>
      <c r="B41">
        <v>39</v>
      </c>
      <c r="C41">
        <v>1</v>
      </c>
      <c r="D41" t="s">
        <v>489</v>
      </c>
      <c r="E41" s="25">
        <v>43</v>
      </c>
      <c r="F41">
        <v>380</v>
      </c>
      <c r="G41" s="26">
        <f>0.261034-0.05+0.18</f>
        <v>0.39103399999999999</v>
      </c>
      <c r="H41" s="23">
        <f t="shared" si="0"/>
        <v>0.1285266603845116</v>
      </c>
    </row>
    <row r="42" spans="1:8" x14ac:dyDescent="0.25">
      <c r="A42" s="14">
        <v>40</v>
      </c>
      <c r="B42">
        <v>40</v>
      </c>
      <c r="C42">
        <v>1</v>
      </c>
      <c r="D42" t="s">
        <v>258</v>
      </c>
      <c r="E42" s="25">
        <v>44</v>
      </c>
      <c r="F42">
        <v>380</v>
      </c>
      <c r="G42" s="26">
        <f>0.211034+0.18</f>
        <v>0.39103399999999999</v>
      </c>
      <c r="H42" s="23">
        <f t="shared" si="0"/>
        <v>0.1285266603845116</v>
      </c>
    </row>
    <row r="43" spans="1:8" x14ac:dyDescent="0.25">
      <c r="A43" s="14">
        <v>41</v>
      </c>
      <c r="B43">
        <v>41</v>
      </c>
      <c r="C43">
        <v>1</v>
      </c>
      <c r="D43" t="s">
        <v>91</v>
      </c>
      <c r="E43" s="25">
        <v>35</v>
      </c>
      <c r="F43">
        <v>380</v>
      </c>
      <c r="G43" s="23">
        <f>1.79</f>
        <v>1.79</v>
      </c>
      <c r="H43" s="23">
        <f t="shared" si="0"/>
        <v>0.58834454827016514</v>
      </c>
    </row>
    <row r="44" spans="1:8" x14ac:dyDescent="0.25">
      <c r="A44" s="14">
        <v>42</v>
      </c>
      <c r="B44">
        <v>42</v>
      </c>
      <c r="C44">
        <v>1</v>
      </c>
      <c r="D44" t="s">
        <v>92</v>
      </c>
      <c r="E44" s="25">
        <v>36</v>
      </c>
      <c r="F44">
        <v>380</v>
      </c>
      <c r="G44" s="26">
        <f>0.10199-0.05+0.12</f>
        <v>0.17198999999999998</v>
      </c>
      <c r="H44" s="23">
        <f t="shared" si="0"/>
        <v>5.6530379249712673E-2</v>
      </c>
    </row>
    <row r="45" spans="1:8" x14ac:dyDescent="0.25">
      <c r="A45" s="14">
        <v>43</v>
      </c>
      <c r="B45">
        <v>43</v>
      </c>
      <c r="C45">
        <v>1</v>
      </c>
      <c r="D45" t="s">
        <v>93</v>
      </c>
      <c r="E45" s="25">
        <v>37</v>
      </c>
      <c r="F45">
        <v>380</v>
      </c>
      <c r="G45" s="23">
        <f>0.05-0.05+2.05</f>
        <v>2.0499999999999998</v>
      </c>
      <c r="H45" s="23">
        <f t="shared" si="0"/>
        <v>0.67380241561666954</v>
      </c>
    </row>
    <row r="46" spans="1:8" x14ac:dyDescent="0.25">
      <c r="A46" s="14">
        <v>44</v>
      </c>
      <c r="B46">
        <v>44</v>
      </c>
      <c r="C46">
        <v>1</v>
      </c>
      <c r="D46" t="s">
        <v>262</v>
      </c>
      <c r="E46" s="25">
        <v>40</v>
      </c>
      <c r="F46">
        <v>380</v>
      </c>
      <c r="G46" s="26">
        <f>0.2996288-0.05+0.24</f>
        <v>0.48962879999999998</v>
      </c>
      <c r="H46" s="23">
        <f t="shared" si="0"/>
        <v>0.16093320399780056</v>
      </c>
    </row>
    <row r="47" spans="1:8" x14ac:dyDescent="0.25">
      <c r="A47" s="1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1"/>
  <sheetViews>
    <sheetView tabSelected="1" zoomScale="99" workbookViewId="0">
      <pane ySplit="1" topLeftCell="A2" activePane="bottomLeft" state="frozen"/>
      <selection pane="bottomLeft" activeCell="E2" sqref="E2:E10"/>
    </sheetView>
  </sheetViews>
  <sheetFormatPr defaultColWidth="8.85546875" defaultRowHeight="15" x14ac:dyDescent="0.25"/>
  <cols>
    <col min="4" max="4" width="43.5703125" bestFit="1" customWidth="1"/>
    <col min="20" max="20" width="25.5703125" bestFit="1" customWidth="1"/>
  </cols>
  <sheetData>
    <row r="1" spans="1:19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</row>
    <row r="2" spans="1:19" x14ac:dyDescent="0.25">
      <c r="A2" s="1">
        <v>0</v>
      </c>
      <c r="B2">
        <v>0</v>
      </c>
      <c r="C2">
        <v>1</v>
      </c>
      <c r="D2" t="s">
        <v>253</v>
      </c>
      <c r="E2">
        <v>2340</v>
      </c>
      <c r="F2">
        <v>380</v>
      </c>
      <c r="G2">
        <v>38</v>
      </c>
      <c r="I2" s="23">
        <v>0.24</v>
      </c>
      <c r="J2">
        <v>0</v>
      </c>
      <c r="K2">
        <f>E2/2000</f>
        <v>1.17</v>
      </c>
      <c r="L2">
        <f>-K2</f>
        <v>-1.17</v>
      </c>
      <c r="M2">
        <f>5/2</f>
        <v>2.5</v>
      </c>
      <c r="N2">
        <f>-M2</f>
        <v>-2.5</v>
      </c>
      <c r="O2">
        <v>1</v>
      </c>
    </row>
    <row r="3" spans="1:19" x14ac:dyDescent="0.25">
      <c r="A3" s="1">
        <v>1</v>
      </c>
      <c r="B3">
        <v>1</v>
      </c>
      <c r="C3">
        <v>1</v>
      </c>
      <c r="D3" t="s">
        <v>254</v>
      </c>
      <c r="E3">
        <v>2340</v>
      </c>
      <c r="F3">
        <v>380</v>
      </c>
      <c r="G3">
        <v>39</v>
      </c>
      <c r="I3" s="23">
        <v>0.24</v>
      </c>
      <c r="J3">
        <v>0</v>
      </c>
      <c r="K3">
        <f t="shared" ref="K3:K66" si="0">E3/2000</f>
        <v>1.17</v>
      </c>
      <c r="L3">
        <f t="shared" ref="L3:L10" si="1">-K3</f>
        <v>-1.17</v>
      </c>
      <c r="M3">
        <f t="shared" ref="M3:M10" si="2">5/2</f>
        <v>2.5</v>
      </c>
      <c r="N3">
        <f t="shared" ref="N3:N10" si="3">-M3</f>
        <v>-2.5</v>
      </c>
      <c r="O3">
        <v>1</v>
      </c>
    </row>
    <row r="4" spans="1:19" x14ac:dyDescent="0.25">
      <c r="A4" s="1">
        <v>2</v>
      </c>
      <c r="B4">
        <v>2</v>
      </c>
      <c r="C4">
        <v>1</v>
      </c>
      <c r="D4" t="s">
        <v>255</v>
      </c>
      <c r="E4">
        <v>2340</v>
      </c>
      <c r="F4">
        <v>380</v>
      </c>
      <c r="G4">
        <v>41</v>
      </c>
      <c r="I4" s="23">
        <v>0.24</v>
      </c>
      <c r="J4">
        <v>0</v>
      </c>
      <c r="K4">
        <f t="shared" si="0"/>
        <v>1.17</v>
      </c>
      <c r="L4">
        <f t="shared" si="1"/>
        <v>-1.17</v>
      </c>
      <c r="M4">
        <f t="shared" si="2"/>
        <v>2.5</v>
      </c>
      <c r="N4">
        <f t="shared" si="3"/>
        <v>-2.5</v>
      </c>
      <c r="O4">
        <v>1</v>
      </c>
    </row>
    <row r="5" spans="1:19" x14ac:dyDescent="0.25">
      <c r="A5" s="1">
        <v>3</v>
      </c>
      <c r="B5">
        <v>3</v>
      </c>
      <c r="C5">
        <v>1</v>
      </c>
      <c r="D5" t="s">
        <v>256</v>
      </c>
      <c r="E5">
        <v>2340</v>
      </c>
      <c r="F5">
        <v>380</v>
      </c>
      <c r="G5">
        <v>42</v>
      </c>
      <c r="I5" s="23">
        <v>0.24</v>
      </c>
      <c r="J5">
        <v>0</v>
      </c>
      <c r="K5">
        <f t="shared" si="0"/>
        <v>1.17</v>
      </c>
      <c r="L5">
        <f t="shared" si="1"/>
        <v>-1.17</v>
      </c>
      <c r="M5">
        <f t="shared" si="2"/>
        <v>2.5</v>
      </c>
      <c r="N5">
        <f t="shared" si="3"/>
        <v>-2.5</v>
      </c>
      <c r="O5">
        <v>1</v>
      </c>
    </row>
    <row r="6" spans="1:19" x14ac:dyDescent="0.25">
      <c r="A6" s="1">
        <v>4</v>
      </c>
      <c r="B6">
        <v>4</v>
      </c>
      <c r="C6">
        <v>1</v>
      </c>
      <c r="D6" t="s">
        <v>257</v>
      </c>
      <c r="E6">
        <v>1200</v>
      </c>
      <c r="F6">
        <v>380</v>
      </c>
      <c r="G6">
        <v>43</v>
      </c>
      <c r="I6" s="23">
        <v>0.18</v>
      </c>
      <c r="J6">
        <v>0</v>
      </c>
      <c r="K6">
        <f t="shared" si="0"/>
        <v>0.6</v>
      </c>
      <c r="L6">
        <f t="shared" si="1"/>
        <v>-0.6</v>
      </c>
      <c r="M6">
        <f t="shared" si="2"/>
        <v>2.5</v>
      </c>
      <c r="N6">
        <f t="shared" si="3"/>
        <v>-2.5</v>
      </c>
      <c r="O6">
        <v>1</v>
      </c>
    </row>
    <row r="7" spans="1:19" x14ac:dyDescent="0.25">
      <c r="A7" s="1">
        <v>5</v>
      </c>
      <c r="B7">
        <v>5</v>
      </c>
      <c r="C7">
        <v>1</v>
      </c>
      <c r="D7" t="s">
        <v>258</v>
      </c>
      <c r="E7">
        <v>1200</v>
      </c>
      <c r="F7">
        <v>380</v>
      </c>
      <c r="G7">
        <v>44</v>
      </c>
      <c r="I7" s="23">
        <v>0.18</v>
      </c>
      <c r="J7">
        <v>0</v>
      </c>
      <c r="K7">
        <f t="shared" si="0"/>
        <v>0.6</v>
      </c>
      <c r="L7">
        <f t="shared" si="1"/>
        <v>-0.6</v>
      </c>
      <c r="M7">
        <f t="shared" si="2"/>
        <v>2.5</v>
      </c>
      <c r="N7">
        <f t="shared" si="3"/>
        <v>-2.5</v>
      </c>
      <c r="O7">
        <v>1</v>
      </c>
    </row>
    <row r="8" spans="1:19" x14ac:dyDescent="0.25">
      <c r="A8" s="1">
        <v>6</v>
      </c>
      <c r="B8">
        <v>6</v>
      </c>
      <c r="C8">
        <v>1</v>
      </c>
      <c r="D8" t="s">
        <v>259</v>
      </c>
      <c r="E8">
        <v>10800</v>
      </c>
      <c r="F8">
        <v>380</v>
      </c>
      <c r="G8">
        <v>35</v>
      </c>
      <c r="I8" s="26">
        <f>0.100864/2 - 0.05 + 1.79</f>
        <v>1.790432</v>
      </c>
      <c r="J8">
        <v>0</v>
      </c>
      <c r="K8">
        <f t="shared" si="0"/>
        <v>5.4</v>
      </c>
      <c r="L8">
        <f t="shared" si="1"/>
        <v>-5.4</v>
      </c>
      <c r="M8">
        <f t="shared" si="2"/>
        <v>2.5</v>
      </c>
      <c r="N8">
        <f t="shared" si="3"/>
        <v>-2.5</v>
      </c>
      <c r="O8">
        <v>1</v>
      </c>
    </row>
    <row r="9" spans="1:19" x14ac:dyDescent="0.25">
      <c r="A9" s="1">
        <v>7</v>
      </c>
      <c r="B9">
        <v>7</v>
      </c>
      <c r="C9">
        <v>1</v>
      </c>
      <c r="D9" t="s">
        <v>260</v>
      </c>
      <c r="E9">
        <v>1200</v>
      </c>
      <c r="F9">
        <v>380</v>
      </c>
      <c r="G9">
        <v>36</v>
      </c>
      <c r="I9" s="23">
        <f>0.12</f>
        <v>0.12</v>
      </c>
      <c r="J9">
        <v>0</v>
      </c>
      <c r="K9">
        <f t="shared" si="0"/>
        <v>0.6</v>
      </c>
      <c r="L9">
        <f t="shared" si="1"/>
        <v>-0.6</v>
      </c>
      <c r="M9">
        <f t="shared" si="2"/>
        <v>2.5</v>
      </c>
      <c r="N9">
        <f t="shared" si="3"/>
        <v>-2.5</v>
      </c>
      <c r="O9">
        <v>1</v>
      </c>
    </row>
    <row r="10" spans="1:19" x14ac:dyDescent="0.25">
      <c r="A10" s="9">
        <v>8</v>
      </c>
      <c r="B10" s="10">
        <v>8</v>
      </c>
      <c r="C10" s="10">
        <v>1</v>
      </c>
      <c r="D10" s="10" t="s">
        <v>261</v>
      </c>
      <c r="E10" s="10">
        <v>11100</v>
      </c>
      <c r="F10" s="10">
        <v>380</v>
      </c>
      <c r="G10" s="10">
        <v>37</v>
      </c>
      <c r="H10" s="10"/>
      <c r="I10" s="26">
        <f>0.49222/2 - 0.05 + 2.05</f>
        <v>2.2461099999999998</v>
      </c>
      <c r="J10" s="10">
        <v>0</v>
      </c>
      <c r="K10">
        <f t="shared" si="0"/>
        <v>5.55</v>
      </c>
      <c r="L10" s="10">
        <f t="shared" si="1"/>
        <v>-5.55</v>
      </c>
      <c r="M10">
        <f t="shared" si="2"/>
        <v>2.5</v>
      </c>
      <c r="N10">
        <f t="shared" si="3"/>
        <v>-2.5</v>
      </c>
      <c r="O10" s="10">
        <v>1</v>
      </c>
      <c r="P10" s="10"/>
      <c r="Q10" s="10"/>
      <c r="R10" s="10"/>
      <c r="S10" s="10"/>
    </row>
    <row r="11" spans="1:19" x14ac:dyDescent="0.25">
      <c r="A11" s="1">
        <v>9</v>
      </c>
      <c r="B11">
        <v>9</v>
      </c>
      <c r="C11">
        <v>1</v>
      </c>
      <c r="D11" t="s">
        <v>350</v>
      </c>
      <c r="E11">
        <v>125</v>
      </c>
      <c r="F11">
        <v>380</v>
      </c>
      <c r="G11">
        <v>28</v>
      </c>
      <c r="I11">
        <f>0.6*E11/2000</f>
        <v>3.7499999999999999E-2</v>
      </c>
      <c r="J11">
        <v>0</v>
      </c>
      <c r="K11">
        <f t="shared" si="0"/>
        <v>6.25E-2</v>
      </c>
      <c r="L11">
        <v>0</v>
      </c>
      <c r="M11">
        <f>0.33*E11/2000</f>
        <v>2.0625000000000001E-2</v>
      </c>
      <c r="N11">
        <f>-M11</f>
        <v>-2.0625000000000001E-2</v>
      </c>
      <c r="O11">
        <v>1</v>
      </c>
    </row>
    <row r="12" spans="1:19" x14ac:dyDescent="0.25">
      <c r="A12" s="1">
        <v>10</v>
      </c>
      <c r="B12">
        <v>10</v>
      </c>
      <c r="C12">
        <v>1</v>
      </c>
      <c r="D12" t="s">
        <v>350</v>
      </c>
      <c r="E12">
        <v>125</v>
      </c>
      <c r="F12">
        <v>380</v>
      </c>
      <c r="G12">
        <v>28</v>
      </c>
      <c r="I12">
        <f t="shared" ref="I12:I14" si="4">0.6*E12/2000</f>
        <v>3.7499999999999999E-2</v>
      </c>
      <c r="J12">
        <v>0</v>
      </c>
      <c r="K12">
        <f t="shared" si="0"/>
        <v>6.25E-2</v>
      </c>
      <c r="L12">
        <v>0</v>
      </c>
      <c r="M12">
        <f t="shared" ref="M12:M75" si="5">0.33*E12/2000</f>
        <v>2.0625000000000001E-2</v>
      </c>
      <c r="N12">
        <f t="shared" ref="N12:N13" si="6">-M12</f>
        <v>-2.0625000000000001E-2</v>
      </c>
      <c r="O12">
        <v>1</v>
      </c>
    </row>
    <row r="13" spans="1:19" x14ac:dyDescent="0.25">
      <c r="A13" s="1">
        <v>11</v>
      </c>
      <c r="B13">
        <v>11</v>
      </c>
      <c r="C13">
        <v>1</v>
      </c>
      <c r="D13" t="s">
        <v>351</v>
      </c>
      <c r="E13">
        <v>7</v>
      </c>
      <c r="F13">
        <v>380</v>
      </c>
      <c r="G13">
        <v>29</v>
      </c>
      <c r="I13">
        <f t="shared" si="4"/>
        <v>2.1000000000000003E-3</v>
      </c>
      <c r="J13">
        <v>0</v>
      </c>
      <c r="K13">
        <f t="shared" si="0"/>
        <v>3.5000000000000001E-3</v>
      </c>
      <c r="L13">
        <v>0</v>
      </c>
      <c r="M13">
        <f t="shared" si="5"/>
        <v>1.155E-3</v>
      </c>
      <c r="N13">
        <f t="shared" si="6"/>
        <v>-1.155E-3</v>
      </c>
      <c r="O13">
        <v>1</v>
      </c>
    </row>
    <row r="14" spans="1:19" x14ac:dyDescent="0.25">
      <c r="A14" s="1">
        <v>12</v>
      </c>
      <c r="B14">
        <v>12</v>
      </c>
      <c r="C14">
        <v>1</v>
      </c>
      <c r="D14" t="s">
        <v>352</v>
      </c>
      <c r="E14">
        <v>38</v>
      </c>
      <c r="F14">
        <v>380</v>
      </c>
      <c r="G14">
        <v>12</v>
      </c>
      <c r="I14">
        <f t="shared" si="4"/>
        <v>1.14E-2</v>
      </c>
      <c r="J14">
        <v>0</v>
      </c>
      <c r="K14">
        <f t="shared" si="0"/>
        <v>1.9E-2</v>
      </c>
      <c r="L14">
        <v>0</v>
      </c>
      <c r="M14">
        <f t="shared" si="5"/>
        <v>6.2700000000000004E-3</v>
      </c>
      <c r="N14">
        <f t="shared" ref="N14:N77" si="7">-M14</f>
        <v>-6.2700000000000004E-3</v>
      </c>
      <c r="O14">
        <v>1</v>
      </c>
    </row>
    <row r="15" spans="1:19" x14ac:dyDescent="0.25">
      <c r="A15" s="1">
        <v>13</v>
      </c>
      <c r="B15">
        <v>13</v>
      </c>
      <c r="C15">
        <v>1</v>
      </c>
      <c r="D15" t="s">
        <v>353</v>
      </c>
      <c r="E15">
        <v>485</v>
      </c>
      <c r="F15">
        <v>380</v>
      </c>
      <c r="G15">
        <v>11</v>
      </c>
      <c r="I15" s="24">
        <f>0.98*E15/2000</f>
        <v>0.23765</v>
      </c>
      <c r="J15">
        <v>0</v>
      </c>
      <c r="K15">
        <f t="shared" si="0"/>
        <v>0.24249999999999999</v>
      </c>
      <c r="L15">
        <v>0</v>
      </c>
      <c r="M15">
        <f t="shared" si="5"/>
        <v>8.0024999999999999E-2</v>
      </c>
      <c r="N15">
        <f t="shared" si="7"/>
        <v>-8.0024999999999999E-2</v>
      </c>
      <c r="O15">
        <v>1</v>
      </c>
    </row>
    <row r="16" spans="1:19" x14ac:dyDescent="0.25">
      <c r="A16" s="1">
        <v>14</v>
      </c>
      <c r="B16">
        <v>14</v>
      </c>
      <c r="C16">
        <v>1</v>
      </c>
      <c r="D16" t="s">
        <v>354</v>
      </c>
      <c r="E16">
        <v>48</v>
      </c>
      <c r="F16" s="13">
        <v>220</v>
      </c>
      <c r="G16">
        <v>9</v>
      </c>
      <c r="I16">
        <f>0.6*E16/2000</f>
        <v>1.4399999999999998E-2</v>
      </c>
      <c r="J16">
        <v>0</v>
      </c>
      <c r="K16">
        <f t="shared" si="0"/>
        <v>2.4E-2</v>
      </c>
      <c r="L16">
        <v>0</v>
      </c>
      <c r="M16">
        <f t="shared" si="5"/>
        <v>7.92E-3</v>
      </c>
      <c r="N16">
        <f t="shared" si="7"/>
        <v>-7.92E-3</v>
      </c>
      <c r="O16" s="5">
        <v>0.57894736842105265</v>
      </c>
      <c r="P16" s="5">
        <v>0.81052631578947365</v>
      </c>
      <c r="Q16" s="5">
        <v>0.3473684210526316</v>
      </c>
    </row>
    <row r="17" spans="1:17" x14ac:dyDescent="0.25">
      <c r="A17" s="1">
        <v>15</v>
      </c>
      <c r="B17">
        <v>15</v>
      </c>
      <c r="C17">
        <v>1</v>
      </c>
      <c r="D17" t="s">
        <v>355</v>
      </c>
      <c r="E17">
        <v>455</v>
      </c>
      <c r="F17">
        <v>380</v>
      </c>
      <c r="G17">
        <v>11</v>
      </c>
      <c r="I17">
        <f t="shared" ref="I17:I80" si="8">0.6*E17/2000</f>
        <v>0.13650000000000001</v>
      </c>
      <c r="J17">
        <v>0</v>
      </c>
      <c r="K17">
        <f t="shared" si="0"/>
        <v>0.22750000000000001</v>
      </c>
      <c r="L17">
        <v>0</v>
      </c>
      <c r="M17">
        <f t="shared" si="5"/>
        <v>7.5075000000000003E-2</v>
      </c>
      <c r="N17">
        <f t="shared" si="7"/>
        <v>-7.5075000000000003E-2</v>
      </c>
      <c r="O17">
        <v>1</v>
      </c>
    </row>
    <row r="18" spans="1:17" x14ac:dyDescent="0.25">
      <c r="A18" s="1">
        <v>16</v>
      </c>
      <c r="B18">
        <v>16</v>
      </c>
      <c r="C18">
        <v>1</v>
      </c>
      <c r="D18" t="s">
        <v>356</v>
      </c>
      <c r="E18">
        <v>844</v>
      </c>
      <c r="F18">
        <v>380</v>
      </c>
      <c r="G18">
        <v>28</v>
      </c>
      <c r="I18">
        <f t="shared" si="8"/>
        <v>0.25319999999999998</v>
      </c>
      <c r="J18">
        <v>0</v>
      </c>
      <c r="K18">
        <f t="shared" si="0"/>
        <v>0.42199999999999999</v>
      </c>
      <c r="L18">
        <v>0</v>
      </c>
      <c r="M18">
        <f t="shared" si="5"/>
        <v>0.13926000000000002</v>
      </c>
      <c r="N18">
        <f t="shared" si="7"/>
        <v>-0.13926000000000002</v>
      </c>
      <c r="O18">
        <v>1</v>
      </c>
    </row>
    <row r="19" spans="1:17" x14ac:dyDescent="0.25">
      <c r="A19" s="1">
        <v>17</v>
      </c>
      <c r="B19">
        <v>17</v>
      </c>
      <c r="C19">
        <v>1</v>
      </c>
      <c r="D19" t="s">
        <v>357</v>
      </c>
      <c r="E19">
        <v>72</v>
      </c>
      <c r="F19" s="13">
        <v>220</v>
      </c>
      <c r="G19">
        <v>3</v>
      </c>
      <c r="I19">
        <f t="shared" si="8"/>
        <v>2.1599999999999998E-2</v>
      </c>
      <c r="J19">
        <v>0</v>
      </c>
      <c r="K19">
        <f t="shared" si="0"/>
        <v>3.5999999999999997E-2</v>
      </c>
      <c r="L19">
        <v>0</v>
      </c>
      <c r="M19">
        <f t="shared" si="5"/>
        <v>1.188E-2</v>
      </c>
      <c r="N19">
        <f t="shared" si="7"/>
        <v>-1.188E-2</v>
      </c>
      <c r="O19" s="5">
        <v>0.57894736842105265</v>
      </c>
      <c r="P19" s="5">
        <v>0.81052631578947365</v>
      </c>
      <c r="Q19" s="5">
        <v>0.3473684210526316</v>
      </c>
    </row>
    <row r="20" spans="1:17" x14ac:dyDescent="0.25">
      <c r="A20" s="1">
        <v>18</v>
      </c>
      <c r="B20">
        <v>18</v>
      </c>
      <c r="C20">
        <v>1</v>
      </c>
      <c r="D20" t="s">
        <v>357</v>
      </c>
      <c r="E20">
        <v>72</v>
      </c>
      <c r="F20" s="13">
        <v>220</v>
      </c>
      <c r="G20">
        <v>3</v>
      </c>
      <c r="I20">
        <f t="shared" si="8"/>
        <v>2.1599999999999998E-2</v>
      </c>
      <c r="J20">
        <v>0</v>
      </c>
      <c r="K20">
        <f t="shared" si="0"/>
        <v>3.5999999999999997E-2</v>
      </c>
      <c r="L20">
        <v>0</v>
      </c>
      <c r="M20">
        <f t="shared" si="5"/>
        <v>1.188E-2</v>
      </c>
      <c r="N20">
        <f t="shared" si="7"/>
        <v>-1.188E-2</v>
      </c>
      <c r="O20" s="5">
        <v>0.57894736842105265</v>
      </c>
      <c r="P20" s="5">
        <v>0.81052631578947365</v>
      </c>
      <c r="Q20" s="5">
        <v>0.3473684210526316</v>
      </c>
    </row>
    <row r="21" spans="1:17" x14ac:dyDescent="0.25">
      <c r="A21" s="1">
        <v>19</v>
      </c>
      <c r="B21">
        <v>19</v>
      </c>
      <c r="C21">
        <v>1</v>
      </c>
      <c r="D21" t="s">
        <v>358</v>
      </c>
      <c r="E21">
        <v>131</v>
      </c>
      <c r="F21" s="13">
        <v>220</v>
      </c>
      <c r="G21">
        <v>6</v>
      </c>
      <c r="I21">
        <f t="shared" si="8"/>
        <v>3.9299999999999995E-2</v>
      </c>
      <c r="J21">
        <v>0</v>
      </c>
      <c r="K21">
        <f t="shared" si="0"/>
        <v>6.5500000000000003E-2</v>
      </c>
      <c r="L21">
        <v>0</v>
      </c>
      <c r="M21">
        <f t="shared" si="5"/>
        <v>2.1615000000000002E-2</v>
      </c>
      <c r="N21">
        <f t="shared" si="7"/>
        <v>-2.1615000000000002E-2</v>
      </c>
      <c r="O21" s="5">
        <v>0.57894736842105265</v>
      </c>
      <c r="P21" s="5">
        <v>0.81052631578947365</v>
      </c>
      <c r="Q21" s="5">
        <v>0.3473684210526316</v>
      </c>
    </row>
    <row r="22" spans="1:17" x14ac:dyDescent="0.25">
      <c r="A22" s="1">
        <v>20</v>
      </c>
      <c r="B22">
        <v>20</v>
      </c>
      <c r="C22">
        <v>1</v>
      </c>
      <c r="D22" t="s">
        <v>358</v>
      </c>
      <c r="E22">
        <v>359</v>
      </c>
      <c r="F22" s="13">
        <v>220</v>
      </c>
      <c r="G22">
        <v>6</v>
      </c>
      <c r="I22">
        <f t="shared" si="8"/>
        <v>0.1077</v>
      </c>
      <c r="J22">
        <v>0</v>
      </c>
      <c r="K22">
        <f t="shared" si="0"/>
        <v>0.17949999999999999</v>
      </c>
      <c r="L22">
        <v>0</v>
      </c>
      <c r="M22">
        <f t="shared" si="5"/>
        <v>5.9234999999999996E-2</v>
      </c>
      <c r="N22">
        <f t="shared" si="7"/>
        <v>-5.9234999999999996E-2</v>
      </c>
      <c r="O22" s="5">
        <v>0.57894736842105265</v>
      </c>
      <c r="P22" s="5">
        <v>0.81052631578947365</v>
      </c>
      <c r="Q22" s="5">
        <v>0.3473684210526316</v>
      </c>
    </row>
    <row r="23" spans="1:17" x14ac:dyDescent="0.25">
      <c r="A23" s="1">
        <v>21</v>
      </c>
      <c r="B23">
        <v>21</v>
      </c>
      <c r="C23">
        <v>1</v>
      </c>
      <c r="D23" t="s">
        <v>358</v>
      </c>
      <c r="E23">
        <v>359</v>
      </c>
      <c r="F23" s="13">
        <v>220</v>
      </c>
      <c r="G23">
        <v>6</v>
      </c>
      <c r="I23">
        <f t="shared" si="8"/>
        <v>0.1077</v>
      </c>
      <c r="J23">
        <v>0</v>
      </c>
      <c r="K23">
        <f t="shared" si="0"/>
        <v>0.17949999999999999</v>
      </c>
      <c r="L23">
        <v>0</v>
      </c>
      <c r="M23">
        <f t="shared" si="5"/>
        <v>5.9234999999999996E-2</v>
      </c>
      <c r="N23">
        <f t="shared" si="7"/>
        <v>-5.9234999999999996E-2</v>
      </c>
      <c r="O23" s="5">
        <v>0.57894736842105265</v>
      </c>
      <c r="P23" s="5">
        <v>0.81052631578947365</v>
      </c>
      <c r="Q23" s="5">
        <v>0.3473684210526316</v>
      </c>
    </row>
    <row r="24" spans="1:17" x14ac:dyDescent="0.25">
      <c r="A24" s="1">
        <v>22</v>
      </c>
      <c r="B24">
        <v>22</v>
      </c>
      <c r="C24">
        <v>1</v>
      </c>
      <c r="D24" t="s">
        <v>358</v>
      </c>
      <c r="E24">
        <v>361</v>
      </c>
      <c r="F24" s="13">
        <v>220</v>
      </c>
      <c r="G24">
        <v>6</v>
      </c>
      <c r="I24">
        <f t="shared" si="8"/>
        <v>0.10829999999999999</v>
      </c>
      <c r="J24">
        <v>0</v>
      </c>
      <c r="K24">
        <f t="shared" si="0"/>
        <v>0.18049999999999999</v>
      </c>
      <c r="L24">
        <v>0</v>
      </c>
      <c r="M24">
        <f t="shared" si="5"/>
        <v>5.9565000000000007E-2</v>
      </c>
      <c r="N24">
        <f t="shared" si="7"/>
        <v>-5.9565000000000007E-2</v>
      </c>
      <c r="O24" s="5">
        <v>0.57894736842105265</v>
      </c>
      <c r="P24" s="5">
        <v>0.81052631578947365</v>
      </c>
      <c r="Q24" s="5">
        <v>0.3473684210526316</v>
      </c>
    </row>
    <row r="25" spans="1:17" x14ac:dyDescent="0.25">
      <c r="A25" s="1">
        <v>23</v>
      </c>
      <c r="B25">
        <v>23</v>
      </c>
      <c r="C25">
        <v>1</v>
      </c>
      <c r="D25" t="s">
        <v>358</v>
      </c>
      <c r="E25">
        <v>359</v>
      </c>
      <c r="F25">
        <v>380</v>
      </c>
      <c r="G25">
        <v>18</v>
      </c>
      <c r="I25">
        <f t="shared" si="8"/>
        <v>0.1077</v>
      </c>
      <c r="J25">
        <v>0</v>
      </c>
      <c r="K25">
        <f t="shared" si="0"/>
        <v>0.17949999999999999</v>
      </c>
      <c r="L25">
        <v>0</v>
      </c>
      <c r="M25">
        <f t="shared" si="5"/>
        <v>5.9234999999999996E-2</v>
      </c>
      <c r="N25">
        <f t="shared" si="7"/>
        <v>-5.9234999999999996E-2</v>
      </c>
      <c r="O25">
        <v>1</v>
      </c>
    </row>
    <row r="26" spans="1:17" x14ac:dyDescent="0.25">
      <c r="A26" s="1">
        <v>24</v>
      </c>
      <c r="B26">
        <v>24</v>
      </c>
      <c r="C26">
        <v>1</v>
      </c>
      <c r="D26" t="s">
        <v>358</v>
      </c>
      <c r="E26">
        <v>360</v>
      </c>
      <c r="F26">
        <v>380</v>
      </c>
      <c r="G26">
        <v>18</v>
      </c>
      <c r="I26">
        <f t="shared" si="8"/>
        <v>0.108</v>
      </c>
      <c r="J26">
        <v>0</v>
      </c>
      <c r="K26">
        <f t="shared" si="0"/>
        <v>0.18</v>
      </c>
      <c r="L26">
        <v>0</v>
      </c>
      <c r="M26">
        <f t="shared" si="5"/>
        <v>5.9400000000000008E-2</v>
      </c>
      <c r="N26">
        <f t="shared" si="7"/>
        <v>-5.9400000000000008E-2</v>
      </c>
      <c r="O26">
        <v>1</v>
      </c>
    </row>
    <row r="27" spans="1:17" x14ac:dyDescent="0.25">
      <c r="A27" s="1">
        <v>25</v>
      </c>
      <c r="B27">
        <v>25</v>
      </c>
      <c r="C27">
        <v>1</v>
      </c>
      <c r="D27" t="s">
        <v>359</v>
      </c>
      <c r="E27">
        <v>426</v>
      </c>
      <c r="F27">
        <v>380</v>
      </c>
      <c r="G27">
        <v>25</v>
      </c>
      <c r="I27">
        <f t="shared" si="8"/>
        <v>0.1278</v>
      </c>
      <c r="J27">
        <v>0</v>
      </c>
      <c r="K27">
        <f t="shared" si="0"/>
        <v>0.21299999999999999</v>
      </c>
      <c r="L27">
        <v>0</v>
      </c>
      <c r="M27">
        <f t="shared" si="5"/>
        <v>7.0290000000000005E-2</v>
      </c>
      <c r="N27">
        <f t="shared" si="7"/>
        <v>-7.0290000000000005E-2</v>
      </c>
      <c r="O27">
        <v>1</v>
      </c>
    </row>
    <row r="28" spans="1:17" x14ac:dyDescent="0.25">
      <c r="A28" s="1">
        <v>26</v>
      </c>
      <c r="B28">
        <v>26</v>
      </c>
      <c r="C28">
        <v>1</v>
      </c>
      <c r="D28" t="s">
        <v>359</v>
      </c>
      <c r="E28">
        <v>415</v>
      </c>
      <c r="F28">
        <v>380</v>
      </c>
      <c r="G28">
        <v>25</v>
      </c>
      <c r="I28">
        <f t="shared" si="8"/>
        <v>0.1245</v>
      </c>
      <c r="J28">
        <v>0</v>
      </c>
      <c r="K28">
        <f t="shared" si="0"/>
        <v>0.20749999999999999</v>
      </c>
      <c r="L28">
        <v>0</v>
      </c>
      <c r="M28">
        <f t="shared" si="5"/>
        <v>6.8475000000000008E-2</v>
      </c>
      <c r="N28">
        <f t="shared" si="7"/>
        <v>-6.8475000000000008E-2</v>
      </c>
      <c r="O28">
        <v>1</v>
      </c>
    </row>
    <row r="29" spans="1:17" x14ac:dyDescent="0.25">
      <c r="A29" s="1">
        <v>27</v>
      </c>
      <c r="B29">
        <v>27</v>
      </c>
      <c r="C29">
        <v>1</v>
      </c>
      <c r="D29" t="s">
        <v>360</v>
      </c>
      <c r="E29">
        <v>83</v>
      </c>
      <c r="F29">
        <v>380</v>
      </c>
      <c r="G29">
        <v>13</v>
      </c>
      <c r="I29">
        <f t="shared" si="8"/>
        <v>2.4899999999999999E-2</v>
      </c>
      <c r="J29">
        <v>0</v>
      </c>
      <c r="K29">
        <f t="shared" si="0"/>
        <v>4.1500000000000002E-2</v>
      </c>
      <c r="L29">
        <v>0</v>
      </c>
      <c r="M29">
        <f t="shared" si="5"/>
        <v>1.3695000000000001E-2</v>
      </c>
      <c r="N29">
        <f t="shared" si="7"/>
        <v>-1.3695000000000001E-2</v>
      </c>
      <c r="O29">
        <v>1</v>
      </c>
    </row>
    <row r="30" spans="1:17" x14ac:dyDescent="0.25">
      <c r="A30" s="1">
        <v>28</v>
      </c>
      <c r="B30">
        <v>28</v>
      </c>
      <c r="C30">
        <v>1</v>
      </c>
      <c r="D30" t="s">
        <v>361</v>
      </c>
      <c r="E30">
        <v>112</v>
      </c>
      <c r="F30">
        <v>380</v>
      </c>
      <c r="G30">
        <v>33</v>
      </c>
      <c r="I30">
        <f t="shared" si="8"/>
        <v>3.3600000000000005E-2</v>
      </c>
      <c r="J30">
        <v>0</v>
      </c>
      <c r="K30">
        <f t="shared" si="0"/>
        <v>5.6000000000000001E-2</v>
      </c>
      <c r="L30">
        <v>0</v>
      </c>
      <c r="M30">
        <f t="shared" si="5"/>
        <v>1.848E-2</v>
      </c>
      <c r="N30">
        <f t="shared" si="7"/>
        <v>-1.848E-2</v>
      </c>
      <c r="O30">
        <v>1</v>
      </c>
    </row>
    <row r="31" spans="1:17" x14ac:dyDescent="0.25">
      <c r="A31" s="1">
        <v>29</v>
      </c>
      <c r="B31">
        <v>29</v>
      </c>
      <c r="C31">
        <v>1</v>
      </c>
      <c r="D31" t="s">
        <v>362</v>
      </c>
      <c r="E31">
        <v>24</v>
      </c>
      <c r="F31">
        <v>380</v>
      </c>
      <c r="G31">
        <v>24</v>
      </c>
      <c r="I31">
        <f t="shared" si="8"/>
        <v>7.1999999999999989E-3</v>
      </c>
      <c r="J31">
        <v>0</v>
      </c>
      <c r="K31">
        <f t="shared" si="0"/>
        <v>1.2E-2</v>
      </c>
      <c r="L31">
        <v>0</v>
      </c>
      <c r="M31">
        <f t="shared" si="5"/>
        <v>3.96E-3</v>
      </c>
      <c r="N31">
        <f t="shared" si="7"/>
        <v>-3.96E-3</v>
      </c>
      <c r="O31">
        <v>1</v>
      </c>
    </row>
    <row r="32" spans="1:17" x14ac:dyDescent="0.25">
      <c r="A32" s="1">
        <v>30</v>
      </c>
      <c r="B32">
        <v>30</v>
      </c>
      <c r="C32">
        <v>1</v>
      </c>
      <c r="D32" t="s">
        <v>362</v>
      </c>
      <c r="E32">
        <v>24</v>
      </c>
      <c r="F32">
        <v>380</v>
      </c>
      <c r="G32">
        <v>24</v>
      </c>
      <c r="I32">
        <f t="shared" si="8"/>
        <v>7.1999999999999989E-3</v>
      </c>
      <c r="J32">
        <v>0</v>
      </c>
      <c r="K32">
        <f t="shared" si="0"/>
        <v>1.2E-2</v>
      </c>
      <c r="L32">
        <v>0</v>
      </c>
      <c r="M32">
        <f t="shared" si="5"/>
        <v>3.96E-3</v>
      </c>
      <c r="N32">
        <f t="shared" si="7"/>
        <v>-3.96E-3</v>
      </c>
      <c r="O32">
        <v>1</v>
      </c>
    </row>
    <row r="33" spans="1:17" x14ac:dyDescent="0.25">
      <c r="A33" s="1">
        <v>31</v>
      </c>
      <c r="B33">
        <v>31</v>
      </c>
      <c r="C33">
        <v>1</v>
      </c>
      <c r="D33" t="s">
        <v>362</v>
      </c>
      <c r="E33">
        <v>220</v>
      </c>
      <c r="F33">
        <v>380</v>
      </c>
      <c r="G33">
        <v>24</v>
      </c>
      <c r="I33">
        <f t="shared" si="8"/>
        <v>6.6000000000000003E-2</v>
      </c>
      <c r="J33">
        <v>0</v>
      </c>
      <c r="K33">
        <f t="shared" si="0"/>
        <v>0.11</v>
      </c>
      <c r="L33">
        <v>0</v>
      </c>
      <c r="M33">
        <f t="shared" si="5"/>
        <v>3.6300000000000006E-2</v>
      </c>
      <c r="N33">
        <f t="shared" si="7"/>
        <v>-3.6300000000000006E-2</v>
      </c>
      <c r="O33">
        <v>1</v>
      </c>
    </row>
    <row r="34" spans="1:17" x14ac:dyDescent="0.25">
      <c r="A34" s="1">
        <v>32</v>
      </c>
      <c r="B34">
        <v>32</v>
      </c>
      <c r="C34">
        <v>1</v>
      </c>
      <c r="D34" t="s">
        <v>363</v>
      </c>
      <c r="E34">
        <v>79</v>
      </c>
      <c r="F34">
        <v>380</v>
      </c>
      <c r="G34">
        <v>28</v>
      </c>
      <c r="I34">
        <f t="shared" si="8"/>
        <v>2.3699999999999999E-2</v>
      </c>
      <c r="J34">
        <v>0</v>
      </c>
      <c r="K34">
        <f t="shared" si="0"/>
        <v>3.95E-2</v>
      </c>
      <c r="L34">
        <v>0</v>
      </c>
      <c r="M34">
        <f t="shared" si="5"/>
        <v>1.3035E-2</v>
      </c>
      <c r="N34">
        <f t="shared" si="7"/>
        <v>-1.3035E-2</v>
      </c>
      <c r="O34">
        <v>1</v>
      </c>
    </row>
    <row r="35" spans="1:17" x14ac:dyDescent="0.25">
      <c r="A35" s="1">
        <v>33</v>
      </c>
      <c r="B35">
        <v>33</v>
      </c>
      <c r="C35">
        <v>1</v>
      </c>
      <c r="D35" t="s">
        <v>364</v>
      </c>
      <c r="E35">
        <v>435</v>
      </c>
      <c r="F35">
        <v>380</v>
      </c>
      <c r="G35">
        <v>11</v>
      </c>
      <c r="I35">
        <f t="shared" si="8"/>
        <v>0.1305</v>
      </c>
      <c r="J35">
        <v>0</v>
      </c>
      <c r="K35">
        <f t="shared" si="0"/>
        <v>0.2175</v>
      </c>
      <c r="L35">
        <v>0</v>
      </c>
      <c r="M35">
        <f t="shared" si="5"/>
        <v>7.1775000000000005E-2</v>
      </c>
      <c r="N35">
        <f t="shared" si="7"/>
        <v>-7.1775000000000005E-2</v>
      </c>
      <c r="O35">
        <v>1</v>
      </c>
    </row>
    <row r="36" spans="1:17" x14ac:dyDescent="0.25">
      <c r="A36" s="1">
        <v>34</v>
      </c>
      <c r="B36">
        <v>34</v>
      </c>
      <c r="C36">
        <v>1</v>
      </c>
      <c r="D36" t="s">
        <v>364</v>
      </c>
      <c r="E36">
        <v>435</v>
      </c>
      <c r="F36">
        <v>380</v>
      </c>
      <c r="G36">
        <v>11</v>
      </c>
      <c r="I36">
        <f t="shared" si="8"/>
        <v>0.1305</v>
      </c>
      <c r="J36">
        <v>0</v>
      </c>
      <c r="K36">
        <f t="shared" si="0"/>
        <v>0.2175</v>
      </c>
      <c r="L36">
        <v>0</v>
      </c>
      <c r="M36">
        <f t="shared" si="5"/>
        <v>7.1775000000000005E-2</v>
      </c>
      <c r="N36">
        <f t="shared" si="7"/>
        <v>-7.1775000000000005E-2</v>
      </c>
      <c r="O36">
        <v>1</v>
      </c>
    </row>
    <row r="37" spans="1:17" x14ac:dyDescent="0.25">
      <c r="A37" s="1">
        <v>35</v>
      </c>
      <c r="B37">
        <v>35</v>
      </c>
      <c r="C37">
        <v>1</v>
      </c>
      <c r="D37" t="s">
        <v>365</v>
      </c>
      <c r="E37">
        <v>600</v>
      </c>
      <c r="F37">
        <v>380</v>
      </c>
      <c r="G37">
        <v>22</v>
      </c>
      <c r="I37">
        <f t="shared" si="8"/>
        <v>0.18</v>
      </c>
      <c r="J37">
        <v>0</v>
      </c>
      <c r="K37">
        <f t="shared" si="0"/>
        <v>0.3</v>
      </c>
      <c r="L37">
        <v>0</v>
      </c>
      <c r="M37">
        <f t="shared" si="5"/>
        <v>9.9000000000000005E-2</v>
      </c>
      <c r="N37">
        <f t="shared" si="7"/>
        <v>-9.9000000000000005E-2</v>
      </c>
      <c r="O37">
        <v>1</v>
      </c>
    </row>
    <row r="38" spans="1:17" x14ac:dyDescent="0.25">
      <c r="A38" s="1">
        <v>36</v>
      </c>
      <c r="B38">
        <v>36</v>
      </c>
      <c r="C38">
        <v>1</v>
      </c>
      <c r="D38" t="s">
        <v>366</v>
      </c>
      <c r="E38">
        <v>60</v>
      </c>
      <c r="F38">
        <v>380</v>
      </c>
      <c r="G38">
        <v>23</v>
      </c>
      <c r="I38">
        <f t="shared" si="8"/>
        <v>1.7999999999999999E-2</v>
      </c>
      <c r="J38">
        <v>0</v>
      </c>
      <c r="K38">
        <f t="shared" si="0"/>
        <v>0.03</v>
      </c>
      <c r="L38">
        <v>0</v>
      </c>
      <c r="M38">
        <f t="shared" si="5"/>
        <v>9.9000000000000008E-3</v>
      </c>
      <c r="N38">
        <f t="shared" si="7"/>
        <v>-9.9000000000000008E-3</v>
      </c>
      <c r="O38">
        <v>1</v>
      </c>
    </row>
    <row r="39" spans="1:17" x14ac:dyDescent="0.25">
      <c r="A39" s="1">
        <v>37</v>
      </c>
      <c r="B39">
        <v>37</v>
      </c>
      <c r="C39">
        <v>1</v>
      </c>
      <c r="D39" t="s">
        <v>367</v>
      </c>
      <c r="E39">
        <v>180</v>
      </c>
      <c r="F39" s="13">
        <v>220</v>
      </c>
      <c r="G39">
        <v>8</v>
      </c>
      <c r="I39">
        <f t="shared" si="8"/>
        <v>5.3999999999999999E-2</v>
      </c>
      <c r="J39">
        <v>0</v>
      </c>
      <c r="K39">
        <f t="shared" si="0"/>
        <v>0.09</v>
      </c>
      <c r="L39">
        <v>0</v>
      </c>
      <c r="M39">
        <f t="shared" si="5"/>
        <v>2.9700000000000004E-2</v>
      </c>
      <c r="N39">
        <f t="shared" si="7"/>
        <v>-2.9700000000000004E-2</v>
      </c>
      <c r="O39" s="5">
        <v>0.57894736842105265</v>
      </c>
      <c r="P39" s="5">
        <v>0.81052631578947365</v>
      </c>
      <c r="Q39" s="5">
        <v>0.3473684210526316</v>
      </c>
    </row>
    <row r="40" spans="1:17" x14ac:dyDescent="0.25">
      <c r="A40" s="1">
        <v>38</v>
      </c>
      <c r="B40">
        <v>38</v>
      </c>
      <c r="C40">
        <v>1</v>
      </c>
      <c r="D40" t="s">
        <v>368</v>
      </c>
      <c r="E40">
        <v>640</v>
      </c>
      <c r="F40">
        <v>380</v>
      </c>
      <c r="G40">
        <v>26</v>
      </c>
      <c r="I40">
        <f t="shared" si="8"/>
        <v>0.192</v>
      </c>
      <c r="J40">
        <v>0</v>
      </c>
      <c r="K40">
        <f t="shared" si="0"/>
        <v>0.32</v>
      </c>
      <c r="L40">
        <v>0</v>
      </c>
      <c r="M40">
        <f t="shared" si="5"/>
        <v>0.10560000000000001</v>
      </c>
      <c r="N40">
        <f t="shared" si="7"/>
        <v>-0.10560000000000001</v>
      </c>
      <c r="O40">
        <v>1</v>
      </c>
    </row>
    <row r="41" spans="1:17" x14ac:dyDescent="0.25">
      <c r="A41" s="1">
        <v>39</v>
      </c>
      <c r="B41">
        <v>39</v>
      </c>
      <c r="C41">
        <v>1</v>
      </c>
      <c r="D41" t="s">
        <v>368</v>
      </c>
      <c r="E41">
        <v>1275</v>
      </c>
      <c r="F41">
        <v>380</v>
      </c>
      <c r="G41">
        <v>26</v>
      </c>
      <c r="I41">
        <f t="shared" si="8"/>
        <v>0.38250000000000001</v>
      </c>
      <c r="J41">
        <v>0</v>
      </c>
      <c r="K41">
        <f t="shared" si="0"/>
        <v>0.63749999999999996</v>
      </c>
      <c r="L41">
        <v>0</v>
      </c>
      <c r="M41">
        <f t="shared" si="5"/>
        <v>0.21037500000000001</v>
      </c>
      <c r="N41">
        <f t="shared" si="7"/>
        <v>-0.21037500000000001</v>
      </c>
      <c r="O41">
        <v>1</v>
      </c>
    </row>
    <row r="42" spans="1:17" x14ac:dyDescent="0.25">
      <c r="A42" s="1">
        <v>40</v>
      </c>
      <c r="B42">
        <v>40</v>
      </c>
      <c r="C42">
        <v>1</v>
      </c>
      <c r="D42" t="s">
        <v>367</v>
      </c>
      <c r="E42">
        <v>350</v>
      </c>
      <c r="F42" s="13">
        <v>220</v>
      </c>
      <c r="G42">
        <v>8</v>
      </c>
      <c r="I42">
        <f t="shared" si="8"/>
        <v>0.105</v>
      </c>
      <c r="J42">
        <v>0</v>
      </c>
      <c r="K42">
        <f t="shared" si="0"/>
        <v>0.17499999999999999</v>
      </c>
      <c r="L42">
        <v>0</v>
      </c>
      <c r="M42">
        <f t="shared" si="5"/>
        <v>5.7750000000000003E-2</v>
      </c>
      <c r="N42">
        <f t="shared" si="7"/>
        <v>-5.7750000000000003E-2</v>
      </c>
      <c r="O42" s="5">
        <v>0.57894736842105265</v>
      </c>
      <c r="P42" s="5">
        <v>0.81052631578947365</v>
      </c>
      <c r="Q42" s="5">
        <v>0.3473684210526316</v>
      </c>
    </row>
    <row r="43" spans="1:17" x14ac:dyDescent="0.25">
      <c r="A43" s="1">
        <v>41</v>
      </c>
      <c r="B43">
        <v>41</v>
      </c>
      <c r="C43">
        <v>1</v>
      </c>
      <c r="D43" t="s">
        <v>369</v>
      </c>
      <c r="E43">
        <v>63</v>
      </c>
      <c r="F43" s="13">
        <v>220</v>
      </c>
      <c r="G43">
        <v>9</v>
      </c>
      <c r="I43">
        <f t="shared" si="8"/>
        <v>1.89E-2</v>
      </c>
      <c r="J43">
        <v>0</v>
      </c>
      <c r="K43">
        <f t="shared" si="0"/>
        <v>3.15E-2</v>
      </c>
      <c r="L43">
        <v>0</v>
      </c>
      <c r="M43">
        <f t="shared" si="5"/>
        <v>1.0395000000000001E-2</v>
      </c>
      <c r="N43">
        <f t="shared" si="7"/>
        <v>-1.0395000000000001E-2</v>
      </c>
      <c r="O43" s="5">
        <v>0.57894736842105265</v>
      </c>
      <c r="P43" s="5">
        <v>0.81052631578947365</v>
      </c>
      <c r="Q43" s="5">
        <v>0.3473684210526316</v>
      </c>
    </row>
    <row r="44" spans="1:17" x14ac:dyDescent="0.25">
      <c r="A44" s="1">
        <v>42</v>
      </c>
      <c r="B44">
        <v>42</v>
      </c>
      <c r="C44">
        <v>1</v>
      </c>
      <c r="D44" t="s">
        <v>370</v>
      </c>
      <c r="E44">
        <v>63</v>
      </c>
      <c r="F44" s="13">
        <v>220</v>
      </c>
      <c r="G44">
        <v>9</v>
      </c>
      <c r="I44">
        <f t="shared" si="8"/>
        <v>1.89E-2</v>
      </c>
      <c r="J44">
        <v>0</v>
      </c>
      <c r="K44">
        <f t="shared" si="0"/>
        <v>3.15E-2</v>
      </c>
      <c r="L44">
        <v>0</v>
      </c>
      <c r="M44">
        <f t="shared" si="5"/>
        <v>1.0395000000000001E-2</v>
      </c>
      <c r="N44">
        <f t="shared" si="7"/>
        <v>-1.0395000000000001E-2</v>
      </c>
      <c r="O44" s="5">
        <v>0.57894736842105265</v>
      </c>
      <c r="P44" s="5">
        <v>0.81052631578947365</v>
      </c>
      <c r="Q44" s="5">
        <v>0.3473684210526316</v>
      </c>
    </row>
    <row r="45" spans="1:17" x14ac:dyDescent="0.25">
      <c r="A45" s="1">
        <v>43</v>
      </c>
      <c r="B45">
        <v>43</v>
      </c>
      <c r="C45">
        <v>1</v>
      </c>
      <c r="D45" t="s">
        <v>371</v>
      </c>
      <c r="E45">
        <v>230</v>
      </c>
      <c r="F45">
        <v>380</v>
      </c>
      <c r="G45">
        <v>26</v>
      </c>
      <c r="I45">
        <f t="shared" si="8"/>
        <v>6.9000000000000006E-2</v>
      </c>
      <c r="J45">
        <v>0</v>
      </c>
      <c r="K45">
        <f t="shared" si="0"/>
        <v>0.115</v>
      </c>
      <c r="L45">
        <v>0</v>
      </c>
      <c r="M45">
        <f t="shared" si="5"/>
        <v>3.7950000000000005E-2</v>
      </c>
      <c r="N45">
        <f t="shared" si="7"/>
        <v>-3.7950000000000005E-2</v>
      </c>
      <c r="O45">
        <v>1</v>
      </c>
    </row>
    <row r="46" spans="1:17" x14ac:dyDescent="0.25">
      <c r="A46" s="1">
        <v>44</v>
      </c>
      <c r="B46">
        <v>44</v>
      </c>
      <c r="C46">
        <v>1</v>
      </c>
      <c r="D46" t="s">
        <v>372</v>
      </c>
      <c r="E46">
        <v>33</v>
      </c>
      <c r="F46">
        <v>380</v>
      </c>
      <c r="G46">
        <v>30</v>
      </c>
      <c r="I46">
        <f t="shared" si="8"/>
        <v>9.9000000000000008E-3</v>
      </c>
      <c r="J46">
        <v>0</v>
      </c>
      <c r="K46">
        <f t="shared" si="0"/>
        <v>1.6500000000000001E-2</v>
      </c>
      <c r="L46">
        <v>0</v>
      </c>
      <c r="M46">
        <f t="shared" si="5"/>
        <v>5.4450000000000002E-3</v>
      </c>
      <c r="N46">
        <f t="shared" si="7"/>
        <v>-5.4450000000000002E-3</v>
      </c>
      <c r="O46">
        <v>1</v>
      </c>
    </row>
    <row r="47" spans="1:17" x14ac:dyDescent="0.25">
      <c r="A47" s="1">
        <v>45</v>
      </c>
      <c r="B47">
        <v>45</v>
      </c>
      <c r="C47">
        <v>1</v>
      </c>
      <c r="D47" t="s">
        <v>373</v>
      </c>
      <c r="E47">
        <v>25</v>
      </c>
      <c r="F47">
        <v>380</v>
      </c>
      <c r="G47">
        <v>16</v>
      </c>
      <c r="I47">
        <f t="shared" si="8"/>
        <v>7.4999999999999997E-3</v>
      </c>
      <c r="J47">
        <v>0</v>
      </c>
      <c r="K47">
        <f t="shared" si="0"/>
        <v>1.2500000000000001E-2</v>
      </c>
      <c r="L47">
        <v>0</v>
      </c>
      <c r="M47">
        <f t="shared" si="5"/>
        <v>4.1250000000000002E-3</v>
      </c>
      <c r="N47">
        <f t="shared" si="7"/>
        <v>-4.1250000000000002E-3</v>
      </c>
      <c r="O47">
        <v>1</v>
      </c>
    </row>
    <row r="48" spans="1:17" x14ac:dyDescent="0.25">
      <c r="A48" s="1">
        <v>46</v>
      </c>
      <c r="B48">
        <v>46</v>
      </c>
      <c r="C48">
        <v>1</v>
      </c>
      <c r="D48" t="s">
        <v>374</v>
      </c>
      <c r="E48">
        <v>32</v>
      </c>
      <c r="F48">
        <v>380</v>
      </c>
      <c r="G48">
        <v>22</v>
      </c>
      <c r="I48">
        <f t="shared" si="8"/>
        <v>9.5999999999999992E-3</v>
      </c>
      <c r="J48">
        <v>0</v>
      </c>
      <c r="K48">
        <f t="shared" si="0"/>
        <v>1.6E-2</v>
      </c>
      <c r="L48">
        <v>0</v>
      </c>
      <c r="M48">
        <f t="shared" si="5"/>
        <v>5.28E-3</v>
      </c>
      <c r="N48">
        <f t="shared" si="7"/>
        <v>-5.28E-3</v>
      </c>
      <c r="O48">
        <v>1</v>
      </c>
    </row>
    <row r="49" spans="1:17" x14ac:dyDescent="0.25">
      <c r="A49" s="1">
        <v>47</v>
      </c>
      <c r="B49">
        <v>47</v>
      </c>
      <c r="C49">
        <v>1</v>
      </c>
      <c r="D49" t="s">
        <v>375</v>
      </c>
      <c r="E49">
        <v>128</v>
      </c>
      <c r="F49" s="13">
        <v>220</v>
      </c>
      <c r="G49">
        <v>2</v>
      </c>
      <c r="I49">
        <f t="shared" si="8"/>
        <v>3.8399999999999997E-2</v>
      </c>
      <c r="J49">
        <v>0</v>
      </c>
      <c r="K49">
        <f t="shared" si="0"/>
        <v>6.4000000000000001E-2</v>
      </c>
      <c r="L49">
        <v>0</v>
      </c>
      <c r="M49">
        <f t="shared" si="5"/>
        <v>2.112E-2</v>
      </c>
      <c r="N49">
        <f t="shared" si="7"/>
        <v>-2.112E-2</v>
      </c>
      <c r="O49" s="5">
        <v>0.57894736842105265</v>
      </c>
      <c r="P49" s="5">
        <v>0.81052631578947365</v>
      </c>
      <c r="Q49" s="5">
        <v>0.3473684210526316</v>
      </c>
    </row>
    <row r="50" spans="1:17" x14ac:dyDescent="0.25">
      <c r="A50" s="1">
        <v>48</v>
      </c>
      <c r="B50">
        <v>48</v>
      </c>
      <c r="C50">
        <v>1</v>
      </c>
      <c r="D50" t="s">
        <v>376</v>
      </c>
      <c r="E50">
        <v>62</v>
      </c>
      <c r="F50">
        <v>380</v>
      </c>
      <c r="G50">
        <v>15</v>
      </c>
      <c r="I50">
        <f t="shared" si="8"/>
        <v>1.8599999999999998E-2</v>
      </c>
      <c r="J50">
        <v>0</v>
      </c>
      <c r="K50">
        <f t="shared" si="0"/>
        <v>3.1E-2</v>
      </c>
      <c r="L50">
        <v>0</v>
      </c>
      <c r="M50">
        <f t="shared" si="5"/>
        <v>1.0230000000000001E-2</v>
      </c>
      <c r="N50">
        <f t="shared" si="7"/>
        <v>-1.0230000000000001E-2</v>
      </c>
      <c r="O50">
        <v>1</v>
      </c>
    </row>
    <row r="51" spans="1:17" x14ac:dyDescent="0.25">
      <c r="A51" s="1">
        <v>49</v>
      </c>
      <c r="B51">
        <v>49</v>
      </c>
      <c r="C51">
        <v>1</v>
      </c>
      <c r="D51" t="s">
        <v>376</v>
      </c>
      <c r="E51">
        <v>55</v>
      </c>
      <c r="F51">
        <v>380</v>
      </c>
      <c r="G51">
        <v>15</v>
      </c>
      <c r="I51">
        <f t="shared" si="8"/>
        <v>1.6500000000000001E-2</v>
      </c>
      <c r="J51">
        <v>0</v>
      </c>
      <c r="K51">
        <f t="shared" si="0"/>
        <v>2.75E-2</v>
      </c>
      <c r="L51">
        <v>0</v>
      </c>
      <c r="M51">
        <f t="shared" si="5"/>
        <v>9.0750000000000015E-3</v>
      </c>
      <c r="N51">
        <f t="shared" si="7"/>
        <v>-9.0750000000000015E-3</v>
      </c>
      <c r="O51">
        <v>1</v>
      </c>
    </row>
    <row r="52" spans="1:17" x14ac:dyDescent="0.25">
      <c r="A52" s="1">
        <v>50</v>
      </c>
      <c r="B52">
        <v>50</v>
      </c>
      <c r="C52">
        <v>1</v>
      </c>
      <c r="D52" t="s">
        <v>377</v>
      </c>
      <c r="E52">
        <v>249</v>
      </c>
      <c r="F52">
        <v>380</v>
      </c>
      <c r="G52">
        <v>15</v>
      </c>
      <c r="I52">
        <f t="shared" si="8"/>
        <v>7.4700000000000003E-2</v>
      </c>
      <c r="J52">
        <v>0</v>
      </c>
      <c r="K52">
        <f t="shared" si="0"/>
        <v>0.1245</v>
      </c>
      <c r="L52">
        <v>0</v>
      </c>
      <c r="M52">
        <f t="shared" si="5"/>
        <v>4.1085000000000003E-2</v>
      </c>
      <c r="N52">
        <f t="shared" si="7"/>
        <v>-4.1085000000000003E-2</v>
      </c>
      <c r="O52">
        <v>1</v>
      </c>
    </row>
    <row r="53" spans="1:17" x14ac:dyDescent="0.25">
      <c r="A53" s="1">
        <v>51</v>
      </c>
      <c r="B53">
        <v>51</v>
      </c>
      <c r="C53">
        <v>1</v>
      </c>
      <c r="D53" t="s">
        <v>378</v>
      </c>
      <c r="E53">
        <v>144</v>
      </c>
      <c r="F53">
        <v>380</v>
      </c>
      <c r="G53">
        <v>12</v>
      </c>
      <c r="I53">
        <f t="shared" si="8"/>
        <v>4.3199999999999995E-2</v>
      </c>
      <c r="J53">
        <v>0</v>
      </c>
      <c r="K53">
        <f t="shared" si="0"/>
        <v>7.1999999999999995E-2</v>
      </c>
      <c r="L53">
        <v>0</v>
      </c>
      <c r="M53">
        <f t="shared" si="5"/>
        <v>2.376E-2</v>
      </c>
      <c r="N53">
        <f t="shared" si="7"/>
        <v>-2.376E-2</v>
      </c>
      <c r="O53">
        <v>1</v>
      </c>
    </row>
    <row r="54" spans="1:17" x14ac:dyDescent="0.25">
      <c r="A54" s="1">
        <v>52</v>
      </c>
      <c r="B54">
        <v>52</v>
      </c>
      <c r="C54">
        <v>1</v>
      </c>
      <c r="D54" t="s">
        <v>379</v>
      </c>
      <c r="E54">
        <v>248</v>
      </c>
      <c r="F54">
        <v>380</v>
      </c>
      <c r="G54">
        <v>10</v>
      </c>
      <c r="I54">
        <f t="shared" si="8"/>
        <v>7.4399999999999994E-2</v>
      </c>
      <c r="J54">
        <v>0</v>
      </c>
      <c r="K54">
        <f t="shared" si="0"/>
        <v>0.124</v>
      </c>
      <c r="L54">
        <v>0</v>
      </c>
      <c r="M54">
        <f t="shared" si="5"/>
        <v>4.0920000000000005E-2</v>
      </c>
      <c r="N54">
        <f t="shared" si="7"/>
        <v>-4.0920000000000005E-2</v>
      </c>
      <c r="O54">
        <v>1</v>
      </c>
    </row>
    <row r="55" spans="1:17" x14ac:dyDescent="0.25">
      <c r="A55" s="1">
        <v>53</v>
      </c>
      <c r="B55">
        <v>53</v>
      </c>
      <c r="C55">
        <v>1</v>
      </c>
      <c r="D55" t="s">
        <v>380</v>
      </c>
      <c r="E55">
        <v>103</v>
      </c>
      <c r="F55">
        <v>380</v>
      </c>
      <c r="G55">
        <v>10</v>
      </c>
      <c r="I55">
        <f t="shared" si="8"/>
        <v>3.0899999999999997E-2</v>
      </c>
      <c r="J55">
        <v>0</v>
      </c>
      <c r="K55">
        <f t="shared" si="0"/>
        <v>5.1499999999999997E-2</v>
      </c>
      <c r="L55">
        <v>0</v>
      </c>
      <c r="M55">
        <f t="shared" si="5"/>
        <v>1.6995E-2</v>
      </c>
      <c r="N55">
        <f t="shared" si="7"/>
        <v>-1.6995E-2</v>
      </c>
      <c r="O55">
        <v>1</v>
      </c>
    </row>
    <row r="56" spans="1:17" x14ac:dyDescent="0.25">
      <c r="A56" s="1">
        <v>54</v>
      </c>
      <c r="B56">
        <v>54</v>
      </c>
      <c r="C56">
        <v>1</v>
      </c>
      <c r="D56" t="s">
        <v>380</v>
      </c>
      <c r="E56">
        <v>225</v>
      </c>
      <c r="F56">
        <v>380</v>
      </c>
      <c r="G56">
        <v>10</v>
      </c>
      <c r="I56">
        <f t="shared" si="8"/>
        <v>6.7500000000000004E-2</v>
      </c>
      <c r="J56">
        <v>0</v>
      </c>
      <c r="K56">
        <f t="shared" si="0"/>
        <v>0.1125</v>
      </c>
      <c r="L56">
        <v>0</v>
      </c>
      <c r="M56">
        <f t="shared" si="5"/>
        <v>3.7124999999999998E-2</v>
      </c>
      <c r="N56">
        <f t="shared" si="7"/>
        <v>-3.7124999999999998E-2</v>
      </c>
      <c r="O56">
        <v>1</v>
      </c>
    </row>
    <row r="57" spans="1:17" x14ac:dyDescent="0.25">
      <c r="A57" s="1">
        <v>55</v>
      </c>
      <c r="B57">
        <v>55</v>
      </c>
      <c r="C57">
        <v>1</v>
      </c>
      <c r="D57" t="s">
        <v>381</v>
      </c>
      <c r="E57">
        <v>67</v>
      </c>
      <c r="F57">
        <v>380</v>
      </c>
      <c r="G57">
        <v>15</v>
      </c>
      <c r="I57">
        <f t="shared" si="8"/>
        <v>2.0099999999999996E-2</v>
      </c>
      <c r="J57">
        <v>0</v>
      </c>
      <c r="K57">
        <f t="shared" si="0"/>
        <v>3.3500000000000002E-2</v>
      </c>
      <c r="L57">
        <v>0</v>
      </c>
      <c r="M57">
        <f t="shared" si="5"/>
        <v>1.1054999999999999E-2</v>
      </c>
      <c r="N57">
        <f t="shared" si="7"/>
        <v>-1.1054999999999999E-2</v>
      </c>
      <c r="O57">
        <v>1</v>
      </c>
    </row>
    <row r="58" spans="1:17" x14ac:dyDescent="0.25">
      <c r="A58" s="1">
        <v>56</v>
      </c>
      <c r="B58">
        <v>56</v>
      </c>
      <c r="C58">
        <v>1</v>
      </c>
      <c r="D58" t="s">
        <v>378</v>
      </c>
      <c r="E58">
        <v>460</v>
      </c>
      <c r="F58">
        <v>380</v>
      </c>
      <c r="G58">
        <v>12</v>
      </c>
      <c r="I58">
        <f t="shared" si="8"/>
        <v>0.13800000000000001</v>
      </c>
      <c r="J58">
        <v>0</v>
      </c>
      <c r="K58">
        <f t="shared" si="0"/>
        <v>0.23</v>
      </c>
      <c r="L58">
        <v>0</v>
      </c>
      <c r="M58">
        <f t="shared" si="5"/>
        <v>7.5900000000000009E-2</v>
      </c>
      <c r="N58">
        <f t="shared" si="7"/>
        <v>-7.5900000000000009E-2</v>
      </c>
      <c r="O58">
        <v>1</v>
      </c>
    </row>
    <row r="59" spans="1:17" x14ac:dyDescent="0.25">
      <c r="A59" s="1">
        <v>57</v>
      </c>
      <c r="B59">
        <v>57</v>
      </c>
      <c r="C59">
        <v>1</v>
      </c>
      <c r="D59" t="s">
        <v>378</v>
      </c>
      <c r="E59">
        <v>380</v>
      </c>
      <c r="F59">
        <v>380</v>
      </c>
      <c r="G59">
        <v>12</v>
      </c>
      <c r="I59">
        <f t="shared" si="8"/>
        <v>0.114</v>
      </c>
      <c r="J59">
        <v>0</v>
      </c>
      <c r="K59">
        <f t="shared" si="0"/>
        <v>0.19</v>
      </c>
      <c r="L59">
        <v>0</v>
      </c>
      <c r="M59">
        <f t="shared" si="5"/>
        <v>6.2700000000000006E-2</v>
      </c>
      <c r="N59">
        <f t="shared" si="7"/>
        <v>-6.2700000000000006E-2</v>
      </c>
      <c r="O59">
        <v>1</v>
      </c>
    </row>
    <row r="60" spans="1:17" x14ac:dyDescent="0.25">
      <c r="A60" s="1">
        <v>58</v>
      </c>
      <c r="B60">
        <v>58</v>
      </c>
      <c r="C60">
        <v>1</v>
      </c>
      <c r="D60" t="s">
        <v>382</v>
      </c>
      <c r="E60">
        <v>440</v>
      </c>
      <c r="F60">
        <v>380</v>
      </c>
      <c r="G60">
        <v>29</v>
      </c>
      <c r="I60">
        <f t="shared" si="8"/>
        <v>0.13200000000000001</v>
      </c>
      <c r="J60">
        <v>0</v>
      </c>
      <c r="K60">
        <f t="shared" si="0"/>
        <v>0.22</v>
      </c>
      <c r="L60">
        <v>0</v>
      </c>
      <c r="M60">
        <f t="shared" si="5"/>
        <v>7.2600000000000012E-2</v>
      </c>
      <c r="N60">
        <f t="shared" si="7"/>
        <v>-7.2600000000000012E-2</v>
      </c>
      <c r="O60">
        <v>1</v>
      </c>
    </row>
    <row r="61" spans="1:17" x14ac:dyDescent="0.25">
      <c r="A61" s="1">
        <v>59</v>
      </c>
      <c r="B61">
        <v>59</v>
      </c>
      <c r="C61">
        <v>1</v>
      </c>
      <c r="D61" t="s">
        <v>383</v>
      </c>
      <c r="E61">
        <v>426</v>
      </c>
      <c r="F61">
        <v>380</v>
      </c>
      <c r="G61">
        <v>28</v>
      </c>
      <c r="I61">
        <f t="shared" si="8"/>
        <v>0.1278</v>
      </c>
      <c r="J61">
        <v>0</v>
      </c>
      <c r="K61">
        <f t="shared" si="0"/>
        <v>0.21299999999999999</v>
      </c>
      <c r="L61">
        <v>0</v>
      </c>
      <c r="M61">
        <f t="shared" si="5"/>
        <v>7.0290000000000005E-2</v>
      </c>
      <c r="N61">
        <f t="shared" si="7"/>
        <v>-7.0290000000000005E-2</v>
      </c>
      <c r="O61">
        <v>1</v>
      </c>
    </row>
    <row r="62" spans="1:17" x14ac:dyDescent="0.25">
      <c r="A62" s="1">
        <v>60</v>
      </c>
      <c r="B62">
        <v>60</v>
      </c>
      <c r="C62">
        <v>1</v>
      </c>
      <c r="D62" t="s">
        <v>384</v>
      </c>
      <c r="E62">
        <v>351</v>
      </c>
      <c r="F62">
        <v>380</v>
      </c>
      <c r="G62">
        <v>22</v>
      </c>
      <c r="I62">
        <f t="shared" si="8"/>
        <v>0.10529999999999999</v>
      </c>
      <c r="J62">
        <v>0</v>
      </c>
      <c r="K62">
        <f t="shared" si="0"/>
        <v>0.17549999999999999</v>
      </c>
      <c r="L62">
        <v>0</v>
      </c>
      <c r="M62">
        <f t="shared" si="5"/>
        <v>5.7915000000000008E-2</v>
      </c>
      <c r="N62">
        <f t="shared" si="7"/>
        <v>-5.7915000000000008E-2</v>
      </c>
      <c r="O62">
        <v>1</v>
      </c>
    </row>
    <row r="63" spans="1:17" x14ac:dyDescent="0.25">
      <c r="A63" s="1">
        <v>61</v>
      </c>
      <c r="B63">
        <v>61</v>
      </c>
      <c r="C63">
        <v>1</v>
      </c>
      <c r="D63" t="s">
        <v>384</v>
      </c>
      <c r="E63">
        <v>415</v>
      </c>
      <c r="F63">
        <v>380</v>
      </c>
      <c r="G63">
        <v>22</v>
      </c>
      <c r="I63">
        <f t="shared" si="8"/>
        <v>0.1245</v>
      </c>
      <c r="J63">
        <v>0</v>
      </c>
      <c r="K63">
        <f t="shared" si="0"/>
        <v>0.20749999999999999</v>
      </c>
      <c r="L63">
        <v>0</v>
      </c>
      <c r="M63">
        <f t="shared" si="5"/>
        <v>6.8475000000000008E-2</v>
      </c>
      <c r="N63">
        <f t="shared" si="7"/>
        <v>-6.8475000000000008E-2</v>
      </c>
      <c r="O63">
        <v>1</v>
      </c>
    </row>
    <row r="64" spans="1:17" x14ac:dyDescent="0.25">
      <c r="A64" s="1">
        <v>62</v>
      </c>
      <c r="B64">
        <v>62</v>
      </c>
      <c r="C64">
        <v>1</v>
      </c>
      <c r="D64" t="s">
        <v>385</v>
      </c>
      <c r="E64">
        <v>24</v>
      </c>
      <c r="F64">
        <v>380</v>
      </c>
      <c r="G64">
        <v>30</v>
      </c>
      <c r="I64">
        <f t="shared" si="8"/>
        <v>7.1999999999999989E-3</v>
      </c>
      <c r="J64">
        <v>0</v>
      </c>
      <c r="K64">
        <f t="shared" si="0"/>
        <v>1.2E-2</v>
      </c>
      <c r="L64">
        <v>0</v>
      </c>
      <c r="M64">
        <f t="shared" si="5"/>
        <v>3.96E-3</v>
      </c>
      <c r="N64">
        <f t="shared" si="7"/>
        <v>-3.96E-3</v>
      </c>
      <c r="O64">
        <v>1</v>
      </c>
    </row>
    <row r="65" spans="1:17" x14ac:dyDescent="0.25">
      <c r="A65" s="1">
        <v>63</v>
      </c>
      <c r="B65">
        <v>63</v>
      </c>
      <c r="C65">
        <v>1</v>
      </c>
      <c r="D65" t="s">
        <v>386</v>
      </c>
      <c r="E65">
        <v>437</v>
      </c>
      <c r="F65">
        <v>380</v>
      </c>
      <c r="G65">
        <v>21</v>
      </c>
      <c r="I65">
        <f t="shared" si="8"/>
        <v>0.13109999999999999</v>
      </c>
      <c r="J65">
        <v>0</v>
      </c>
      <c r="K65">
        <f t="shared" si="0"/>
        <v>0.2185</v>
      </c>
      <c r="L65">
        <v>0</v>
      </c>
      <c r="M65">
        <f t="shared" si="5"/>
        <v>7.2105000000000002E-2</v>
      </c>
      <c r="N65">
        <f t="shared" si="7"/>
        <v>-7.2105000000000002E-2</v>
      </c>
      <c r="O65">
        <v>1</v>
      </c>
    </row>
    <row r="66" spans="1:17" x14ac:dyDescent="0.25">
      <c r="A66" s="1">
        <v>64</v>
      </c>
      <c r="B66">
        <v>64</v>
      </c>
      <c r="C66">
        <v>1</v>
      </c>
      <c r="D66" t="s">
        <v>386</v>
      </c>
      <c r="E66">
        <v>437</v>
      </c>
      <c r="F66">
        <v>380</v>
      </c>
      <c r="G66">
        <v>21</v>
      </c>
      <c r="I66">
        <f t="shared" si="8"/>
        <v>0.13109999999999999</v>
      </c>
      <c r="J66">
        <v>0</v>
      </c>
      <c r="K66">
        <f t="shared" si="0"/>
        <v>0.2185</v>
      </c>
      <c r="L66">
        <v>0</v>
      </c>
      <c r="M66">
        <f t="shared" si="5"/>
        <v>7.2105000000000002E-2</v>
      </c>
      <c r="N66">
        <f t="shared" si="7"/>
        <v>-7.2105000000000002E-2</v>
      </c>
      <c r="O66">
        <v>1</v>
      </c>
    </row>
    <row r="67" spans="1:17" x14ac:dyDescent="0.25">
      <c r="A67" s="1">
        <v>65</v>
      </c>
      <c r="B67">
        <v>65</v>
      </c>
      <c r="C67">
        <v>1</v>
      </c>
      <c r="D67" t="s">
        <v>386</v>
      </c>
      <c r="E67">
        <v>437</v>
      </c>
      <c r="F67">
        <v>380</v>
      </c>
      <c r="G67">
        <v>21</v>
      </c>
      <c r="I67">
        <f t="shared" si="8"/>
        <v>0.13109999999999999</v>
      </c>
      <c r="J67">
        <v>0</v>
      </c>
      <c r="K67">
        <f t="shared" ref="K67:K130" si="9">E67/2000</f>
        <v>0.2185</v>
      </c>
      <c r="L67">
        <v>0</v>
      </c>
      <c r="M67">
        <f t="shared" si="5"/>
        <v>7.2105000000000002E-2</v>
      </c>
      <c r="N67">
        <f t="shared" si="7"/>
        <v>-7.2105000000000002E-2</v>
      </c>
      <c r="O67">
        <v>1</v>
      </c>
    </row>
    <row r="68" spans="1:17" x14ac:dyDescent="0.25">
      <c r="A68" s="1">
        <v>66</v>
      </c>
      <c r="B68">
        <v>66</v>
      </c>
      <c r="C68">
        <v>1</v>
      </c>
      <c r="D68" t="s">
        <v>377</v>
      </c>
      <c r="E68">
        <v>435</v>
      </c>
      <c r="F68">
        <v>380</v>
      </c>
      <c r="G68">
        <v>15</v>
      </c>
      <c r="I68">
        <f t="shared" si="8"/>
        <v>0.1305</v>
      </c>
      <c r="J68">
        <v>0</v>
      </c>
      <c r="K68">
        <f t="shared" si="9"/>
        <v>0.2175</v>
      </c>
      <c r="L68">
        <v>0</v>
      </c>
      <c r="M68">
        <f t="shared" si="5"/>
        <v>7.1775000000000005E-2</v>
      </c>
      <c r="N68">
        <f t="shared" si="7"/>
        <v>-7.1775000000000005E-2</v>
      </c>
      <c r="O68">
        <v>1</v>
      </c>
    </row>
    <row r="69" spans="1:17" x14ac:dyDescent="0.25">
      <c r="A69" s="1">
        <v>67</v>
      </c>
      <c r="B69">
        <v>67</v>
      </c>
      <c r="C69">
        <v>1</v>
      </c>
      <c r="D69" t="s">
        <v>387</v>
      </c>
      <c r="E69">
        <v>120</v>
      </c>
      <c r="F69">
        <v>380</v>
      </c>
      <c r="G69">
        <v>22</v>
      </c>
      <c r="I69">
        <f t="shared" si="8"/>
        <v>3.5999999999999997E-2</v>
      </c>
      <c r="J69">
        <v>0</v>
      </c>
      <c r="K69">
        <f t="shared" si="9"/>
        <v>0.06</v>
      </c>
      <c r="L69">
        <v>0</v>
      </c>
      <c r="M69">
        <f t="shared" si="5"/>
        <v>1.9800000000000002E-2</v>
      </c>
      <c r="N69">
        <f t="shared" si="7"/>
        <v>-1.9800000000000002E-2</v>
      </c>
      <c r="O69">
        <v>1</v>
      </c>
    </row>
    <row r="70" spans="1:17" x14ac:dyDescent="0.25">
      <c r="A70" s="1">
        <v>68</v>
      </c>
      <c r="B70">
        <v>68</v>
      </c>
      <c r="C70">
        <v>1</v>
      </c>
      <c r="D70" t="s">
        <v>388</v>
      </c>
      <c r="E70">
        <v>36</v>
      </c>
      <c r="F70">
        <v>380</v>
      </c>
      <c r="G70">
        <v>22</v>
      </c>
      <c r="I70">
        <f t="shared" si="8"/>
        <v>1.0799999999999999E-2</v>
      </c>
      <c r="J70">
        <v>0</v>
      </c>
      <c r="K70">
        <f t="shared" si="9"/>
        <v>1.7999999999999999E-2</v>
      </c>
      <c r="L70">
        <v>0</v>
      </c>
      <c r="M70">
        <f t="shared" si="5"/>
        <v>5.94E-3</v>
      </c>
      <c r="N70">
        <f t="shared" si="7"/>
        <v>-5.94E-3</v>
      </c>
      <c r="O70">
        <v>1</v>
      </c>
    </row>
    <row r="71" spans="1:17" x14ac:dyDescent="0.25">
      <c r="A71" s="1">
        <v>69</v>
      </c>
      <c r="B71">
        <v>69</v>
      </c>
      <c r="C71">
        <v>1</v>
      </c>
      <c r="D71" t="s">
        <v>389</v>
      </c>
      <c r="E71">
        <v>23</v>
      </c>
      <c r="F71">
        <v>380</v>
      </c>
      <c r="G71">
        <v>23</v>
      </c>
      <c r="I71">
        <f t="shared" si="8"/>
        <v>6.8999999999999999E-3</v>
      </c>
      <c r="J71">
        <v>0</v>
      </c>
      <c r="K71">
        <f t="shared" si="9"/>
        <v>1.15E-2</v>
      </c>
      <c r="L71">
        <v>0</v>
      </c>
      <c r="M71">
        <f t="shared" si="5"/>
        <v>3.7950000000000002E-3</v>
      </c>
      <c r="N71">
        <f t="shared" si="7"/>
        <v>-3.7950000000000002E-3</v>
      </c>
      <c r="O71">
        <v>1</v>
      </c>
    </row>
    <row r="72" spans="1:17" x14ac:dyDescent="0.25">
      <c r="A72" s="1">
        <v>70</v>
      </c>
      <c r="B72">
        <v>70</v>
      </c>
      <c r="C72">
        <v>1</v>
      </c>
      <c r="D72" t="s">
        <v>390</v>
      </c>
      <c r="E72">
        <v>50</v>
      </c>
      <c r="F72" s="13">
        <v>220</v>
      </c>
      <c r="G72">
        <v>8</v>
      </c>
      <c r="I72">
        <f t="shared" si="8"/>
        <v>1.4999999999999999E-2</v>
      </c>
      <c r="J72">
        <v>0</v>
      </c>
      <c r="K72">
        <f t="shared" si="9"/>
        <v>2.5000000000000001E-2</v>
      </c>
      <c r="L72">
        <v>0</v>
      </c>
      <c r="M72">
        <f t="shared" si="5"/>
        <v>8.2500000000000004E-3</v>
      </c>
      <c r="N72">
        <f t="shared" si="7"/>
        <v>-8.2500000000000004E-3</v>
      </c>
      <c r="O72" s="5">
        <v>0.57894736842105265</v>
      </c>
      <c r="P72" s="5">
        <v>0.81052631578947365</v>
      </c>
      <c r="Q72" s="5">
        <v>0.3473684210526316</v>
      </c>
    </row>
    <row r="73" spans="1:17" x14ac:dyDescent="0.25">
      <c r="A73" s="11">
        <v>71</v>
      </c>
      <c r="B73">
        <v>71</v>
      </c>
      <c r="C73">
        <v>1</v>
      </c>
      <c r="D73" t="s">
        <v>391</v>
      </c>
      <c r="E73">
        <v>122</v>
      </c>
      <c r="F73">
        <v>380</v>
      </c>
      <c r="G73" s="7">
        <v>51</v>
      </c>
      <c r="I73">
        <f t="shared" si="8"/>
        <v>3.6600000000000001E-2</v>
      </c>
      <c r="J73">
        <v>0</v>
      </c>
      <c r="K73">
        <f t="shared" si="9"/>
        <v>6.0999999999999999E-2</v>
      </c>
      <c r="L73">
        <v>0</v>
      </c>
      <c r="M73">
        <f t="shared" si="5"/>
        <v>2.0130000000000002E-2</v>
      </c>
      <c r="N73">
        <f t="shared" si="7"/>
        <v>-2.0130000000000002E-2</v>
      </c>
      <c r="O73">
        <v>1</v>
      </c>
    </row>
    <row r="74" spans="1:17" x14ac:dyDescent="0.25">
      <c r="A74" s="11">
        <v>72</v>
      </c>
      <c r="B74">
        <v>72</v>
      </c>
      <c r="C74">
        <v>1</v>
      </c>
      <c r="D74" t="s">
        <v>392</v>
      </c>
      <c r="E74">
        <v>31</v>
      </c>
      <c r="F74">
        <v>380</v>
      </c>
      <c r="G74" s="7">
        <v>17</v>
      </c>
      <c r="I74">
        <f t="shared" si="8"/>
        <v>9.2999999999999992E-3</v>
      </c>
      <c r="J74">
        <v>0</v>
      </c>
      <c r="K74">
        <f>E74/2000</f>
        <v>1.55E-2</v>
      </c>
      <c r="L74">
        <v>0</v>
      </c>
      <c r="M74">
        <f>0.33*E74/2000</f>
        <v>5.1150000000000006E-3</v>
      </c>
      <c r="N74">
        <f t="shared" si="7"/>
        <v>-5.1150000000000006E-3</v>
      </c>
      <c r="O74">
        <v>1</v>
      </c>
    </row>
    <row r="75" spans="1:17" x14ac:dyDescent="0.25">
      <c r="A75" s="11">
        <v>73</v>
      </c>
      <c r="B75">
        <v>73</v>
      </c>
      <c r="C75">
        <v>1</v>
      </c>
      <c r="D75" t="s">
        <v>393</v>
      </c>
      <c r="E75">
        <v>50</v>
      </c>
      <c r="F75">
        <v>380</v>
      </c>
      <c r="G75" s="7">
        <v>23</v>
      </c>
      <c r="I75">
        <f t="shared" si="8"/>
        <v>1.4999999999999999E-2</v>
      </c>
      <c r="J75">
        <v>0</v>
      </c>
      <c r="K75">
        <f t="shared" si="9"/>
        <v>2.5000000000000001E-2</v>
      </c>
      <c r="L75">
        <v>0</v>
      </c>
      <c r="M75">
        <f t="shared" si="5"/>
        <v>8.2500000000000004E-3</v>
      </c>
      <c r="N75">
        <f t="shared" si="7"/>
        <v>-8.2500000000000004E-3</v>
      </c>
      <c r="O75">
        <v>1</v>
      </c>
    </row>
    <row r="76" spans="1:17" x14ac:dyDescent="0.25">
      <c r="A76" s="11">
        <v>74</v>
      </c>
      <c r="B76">
        <v>74</v>
      </c>
      <c r="C76">
        <v>1</v>
      </c>
      <c r="D76" t="s">
        <v>394</v>
      </c>
      <c r="E76">
        <v>36</v>
      </c>
      <c r="F76" s="13">
        <v>220</v>
      </c>
      <c r="G76" s="7">
        <v>8</v>
      </c>
      <c r="I76">
        <f t="shared" si="8"/>
        <v>1.0799999999999999E-2</v>
      </c>
      <c r="J76">
        <v>0</v>
      </c>
      <c r="K76">
        <f t="shared" si="9"/>
        <v>1.7999999999999999E-2</v>
      </c>
      <c r="L76">
        <v>0</v>
      </c>
      <c r="M76">
        <f t="shared" ref="M76:M139" si="10">0.33*E76/2000</f>
        <v>5.94E-3</v>
      </c>
      <c r="N76">
        <f t="shared" si="7"/>
        <v>-5.94E-3</v>
      </c>
      <c r="O76" s="5">
        <v>0.57894736842105265</v>
      </c>
      <c r="P76" s="5">
        <v>0.81052631578947365</v>
      </c>
      <c r="Q76" s="5">
        <v>0.3473684210526316</v>
      </c>
    </row>
    <row r="77" spans="1:17" x14ac:dyDescent="0.25">
      <c r="A77" s="11">
        <v>75</v>
      </c>
      <c r="B77">
        <v>75</v>
      </c>
      <c r="C77">
        <v>1</v>
      </c>
      <c r="D77" t="s">
        <v>395</v>
      </c>
      <c r="E77">
        <v>65</v>
      </c>
      <c r="F77">
        <v>380</v>
      </c>
      <c r="G77" s="7">
        <v>12</v>
      </c>
      <c r="I77">
        <f t="shared" si="8"/>
        <v>1.95E-2</v>
      </c>
      <c r="J77">
        <v>0</v>
      </c>
      <c r="K77">
        <f t="shared" si="9"/>
        <v>3.2500000000000001E-2</v>
      </c>
      <c r="L77">
        <v>0</v>
      </c>
      <c r="M77">
        <f t="shared" si="10"/>
        <v>1.0725E-2</v>
      </c>
      <c r="N77">
        <f t="shared" si="7"/>
        <v>-1.0725E-2</v>
      </c>
      <c r="O77">
        <v>1</v>
      </c>
    </row>
    <row r="78" spans="1:17" x14ac:dyDescent="0.25">
      <c r="A78" s="11">
        <v>76</v>
      </c>
      <c r="B78">
        <v>76</v>
      </c>
      <c r="C78">
        <v>1</v>
      </c>
      <c r="D78" t="s">
        <v>396</v>
      </c>
      <c r="E78">
        <v>32</v>
      </c>
      <c r="F78">
        <v>380</v>
      </c>
      <c r="G78" s="7">
        <v>14</v>
      </c>
      <c r="I78">
        <f t="shared" si="8"/>
        <v>9.5999999999999992E-3</v>
      </c>
      <c r="J78">
        <v>0</v>
      </c>
      <c r="K78">
        <f t="shared" si="9"/>
        <v>1.6E-2</v>
      </c>
      <c r="L78">
        <v>0</v>
      </c>
      <c r="M78">
        <f t="shared" si="10"/>
        <v>5.28E-3</v>
      </c>
      <c r="N78">
        <f t="shared" ref="N78:N139" si="11">-M78</f>
        <v>-5.28E-3</v>
      </c>
      <c r="O78">
        <v>1</v>
      </c>
    </row>
    <row r="79" spans="1:17" x14ac:dyDescent="0.25">
      <c r="A79" s="11">
        <v>77</v>
      </c>
      <c r="B79">
        <v>77</v>
      </c>
      <c r="C79">
        <v>1</v>
      </c>
      <c r="D79" t="s">
        <v>397</v>
      </c>
      <c r="E79">
        <v>150</v>
      </c>
      <c r="F79">
        <v>380</v>
      </c>
      <c r="G79" s="7">
        <v>29</v>
      </c>
      <c r="I79">
        <f t="shared" si="8"/>
        <v>4.4999999999999998E-2</v>
      </c>
      <c r="J79">
        <v>0</v>
      </c>
      <c r="K79">
        <f t="shared" si="9"/>
        <v>7.4999999999999997E-2</v>
      </c>
      <c r="L79">
        <v>0</v>
      </c>
      <c r="M79">
        <f t="shared" si="10"/>
        <v>2.4750000000000001E-2</v>
      </c>
      <c r="N79">
        <f t="shared" si="11"/>
        <v>-2.4750000000000001E-2</v>
      </c>
      <c r="O79">
        <v>1</v>
      </c>
    </row>
    <row r="80" spans="1:17" x14ac:dyDescent="0.25">
      <c r="A80" s="11">
        <v>78</v>
      </c>
      <c r="B80">
        <v>78</v>
      </c>
      <c r="C80">
        <v>1</v>
      </c>
      <c r="D80" t="s">
        <v>398</v>
      </c>
      <c r="E80">
        <v>60</v>
      </c>
      <c r="F80">
        <v>380</v>
      </c>
      <c r="G80" s="7">
        <v>51</v>
      </c>
      <c r="I80">
        <f t="shared" si="8"/>
        <v>1.7999999999999999E-2</v>
      </c>
      <c r="J80">
        <v>0</v>
      </c>
      <c r="K80">
        <f t="shared" si="9"/>
        <v>0.03</v>
      </c>
      <c r="L80">
        <v>0</v>
      </c>
      <c r="M80">
        <f t="shared" si="10"/>
        <v>9.9000000000000008E-3</v>
      </c>
      <c r="N80">
        <f t="shared" si="11"/>
        <v>-9.9000000000000008E-3</v>
      </c>
      <c r="O80">
        <v>1</v>
      </c>
    </row>
    <row r="81" spans="1:19" x14ac:dyDescent="0.25">
      <c r="A81" s="11">
        <v>79</v>
      </c>
      <c r="B81">
        <v>79</v>
      </c>
      <c r="C81">
        <v>1</v>
      </c>
      <c r="D81" t="s">
        <v>399</v>
      </c>
      <c r="E81">
        <v>32</v>
      </c>
      <c r="F81">
        <v>380</v>
      </c>
      <c r="G81" s="7">
        <v>50</v>
      </c>
      <c r="I81">
        <f t="shared" ref="I81:I82" si="12">0.6*E81/2000</f>
        <v>9.5999999999999992E-3</v>
      </c>
      <c r="J81">
        <v>0</v>
      </c>
      <c r="K81">
        <f t="shared" si="9"/>
        <v>1.6E-2</v>
      </c>
      <c r="L81">
        <v>0</v>
      </c>
      <c r="M81">
        <f t="shared" si="10"/>
        <v>5.28E-3</v>
      </c>
      <c r="N81">
        <f t="shared" si="11"/>
        <v>-5.28E-3</v>
      </c>
      <c r="O81">
        <v>1</v>
      </c>
    </row>
    <row r="82" spans="1:19" x14ac:dyDescent="0.25">
      <c r="A82" s="11">
        <v>80</v>
      </c>
      <c r="B82" s="10">
        <v>80</v>
      </c>
      <c r="C82" s="10">
        <v>1</v>
      </c>
      <c r="D82" s="10" t="s">
        <v>400</v>
      </c>
      <c r="E82" s="10">
        <v>50</v>
      </c>
      <c r="F82" s="10">
        <v>380</v>
      </c>
      <c r="G82" s="7">
        <v>48</v>
      </c>
      <c r="H82" s="10"/>
      <c r="I82">
        <f t="shared" si="12"/>
        <v>1.4999999999999999E-2</v>
      </c>
      <c r="J82">
        <v>0</v>
      </c>
      <c r="K82">
        <f t="shared" si="9"/>
        <v>2.5000000000000001E-2</v>
      </c>
      <c r="L82" s="10">
        <v>0</v>
      </c>
      <c r="M82">
        <f t="shared" si="10"/>
        <v>8.2500000000000004E-3</v>
      </c>
      <c r="N82">
        <f t="shared" si="11"/>
        <v>-8.2500000000000004E-3</v>
      </c>
      <c r="O82" s="10">
        <v>1</v>
      </c>
      <c r="P82" s="10"/>
      <c r="Q82" s="10"/>
      <c r="R82" s="10"/>
      <c r="S82" s="10"/>
    </row>
    <row r="83" spans="1:19" x14ac:dyDescent="0.25">
      <c r="A83" s="1">
        <v>81</v>
      </c>
      <c r="B83">
        <v>81</v>
      </c>
      <c r="C83">
        <v>1</v>
      </c>
      <c r="D83" t="s">
        <v>401</v>
      </c>
      <c r="E83">
        <v>600</v>
      </c>
      <c r="F83">
        <v>380</v>
      </c>
      <c r="G83">
        <v>21</v>
      </c>
      <c r="I83" s="21">
        <f>0.35*K83</f>
        <v>0.105</v>
      </c>
      <c r="J83">
        <v>0</v>
      </c>
      <c r="K83">
        <f t="shared" si="9"/>
        <v>0.3</v>
      </c>
      <c r="L83">
        <v>0</v>
      </c>
      <c r="M83">
        <f t="shared" si="10"/>
        <v>9.9000000000000005E-2</v>
      </c>
      <c r="N83">
        <f t="shared" si="11"/>
        <v>-9.9000000000000005E-2</v>
      </c>
      <c r="O83">
        <v>1</v>
      </c>
    </row>
    <row r="84" spans="1:19" x14ac:dyDescent="0.25">
      <c r="A84" s="1">
        <v>82</v>
      </c>
      <c r="B84">
        <v>82</v>
      </c>
      <c r="C84">
        <v>1</v>
      </c>
      <c r="D84" t="s">
        <v>402</v>
      </c>
      <c r="E84">
        <v>129</v>
      </c>
      <c r="F84">
        <v>380</v>
      </c>
      <c r="G84">
        <v>13</v>
      </c>
      <c r="I84" s="21">
        <f t="shared" ref="I84:I109" si="13">0.35*K84</f>
        <v>2.2574999999999998E-2</v>
      </c>
      <c r="J84">
        <v>0</v>
      </c>
      <c r="K84">
        <f t="shared" si="9"/>
        <v>6.4500000000000002E-2</v>
      </c>
      <c r="L84">
        <v>0</v>
      </c>
      <c r="M84">
        <f t="shared" si="10"/>
        <v>2.1285000000000002E-2</v>
      </c>
      <c r="N84">
        <f t="shared" si="11"/>
        <v>-2.1285000000000002E-2</v>
      </c>
      <c r="O84">
        <v>1</v>
      </c>
    </row>
    <row r="85" spans="1:19" x14ac:dyDescent="0.25">
      <c r="A85" s="1">
        <v>83</v>
      </c>
      <c r="B85">
        <v>83</v>
      </c>
      <c r="C85">
        <v>1</v>
      </c>
      <c r="D85" t="s">
        <v>403</v>
      </c>
      <c r="E85">
        <v>120</v>
      </c>
      <c r="F85">
        <v>380</v>
      </c>
      <c r="G85">
        <v>12</v>
      </c>
      <c r="I85" s="21">
        <f t="shared" si="13"/>
        <v>2.0999999999999998E-2</v>
      </c>
      <c r="J85">
        <v>0</v>
      </c>
      <c r="K85">
        <f t="shared" si="9"/>
        <v>0.06</v>
      </c>
      <c r="L85">
        <v>0</v>
      </c>
      <c r="M85">
        <f t="shared" si="10"/>
        <v>1.9800000000000002E-2</v>
      </c>
      <c r="N85">
        <f t="shared" si="11"/>
        <v>-1.9800000000000002E-2</v>
      </c>
      <c r="O85">
        <v>1</v>
      </c>
    </row>
    <row r="86" spans="1:19" x14ac:dyDescent="0.25">
      <c r="A86" s="1">
        <v>84</v>
      </c>
      <c r="B86">
        <v>84</v>
      </c>
      <c r="C86">
        <v>1</v>
      </c>
      <c r="D86" t="s">
        <v>404</v>
      </c>
      <c r="E86">
        <v>108</v>
      </c>
      <c r="F86">
        <v>380</v>
      </c>
      <c r="G86">
        <v>12</v>
      </c>
      <c r="I86" s="21">
        <f t="shared" si="13"/>
        <v>1.89E-2</v>
      </c>
      <c r="J86">
        <v>0</v>
      </c>
      <c r="K86">
        <f t="shared" si="9"/>
        <v>5.3999999999999999E-2</v>
      </c>
      <c r="L86">
        <v>0</v>
      </c>
      <c r="M86">
        <f t="shared" si="10"/>
        <v>1.7819999999999999E-2</v>
      </c>
      <c r="N86">
        <f t="shared" si="11"/>
        <v>-1.7819999999999999E-2</v>
      </c>
      <c r="O86">
        <v>1</v>
      </c>
    </row>
    <row r="87" spans="1:19" x14ac:dyDescent="0.25">
      <c r="A87" s="1">
        <v>85</v>
      </c>
      <c r="B87">
        <v>85</v>
      </c>
      <c r="C87">
        <v>1</v>
      </c>
      <c r="D87" t="s">
        <v>405</v>
      </c>
      <c r="E87">
        <v>122</v>
      </c>
      <c r="F87">
        <v>380</v>
      </c>
      <c r="G87">
        <v>15</v>
      </c>
      <c r="I87" s="21">
        <f t="shared" si="13"/>
        <v>2.1349999999999997E-2</v>
      </c>
      <c r="J87">
        <v>0</v>
      </c>
      <c r="K87">
        <f t="shared" si="9"/>
        <v>6.0999999999999999E-2</v>
      </c>
      <c r="L87">
        <v>0</v>
      </c>
      <c r="M87">
        <f t="shared" si="10"/>
        <v>2.0130000000000002E-2</v>
      </c>
      <c r="N87">
        <f t="shared" si="11"/>
        <v>-2.0130000000000002E-2</v>
      </c>
      <c r="O87">
        <v>1</v>
      </c>
    </row>
    <row r="88" spans="1:19" x14ac:dyDescent="0.25">
      <c r="A88" s="1">
        <v>86</v>
      </c>
      <c r="B88">
        <v>86</v>
      </c>
      <c r="C88">
        <v>1</v>
      </c>
      <c r="D88" t="s">
        <v>406</v>
      </c>
      <c r="E88">
        <v>171</v>
      </c>
      <c r="F88" s="13">
        <v>220</v>
      </c>
      <c r="G88">
        <v>6</v>
      </c>
      <c r="I88" s="21">
        <f t="shared" si="13"/>
        <v>2.9925E-2</v>
      </c>
      <c r="J88">
        <v>0</v>
      </c>
      <c r="K88">
        <f t="shared" si="9"/>
        <v>8.5500000000000007E-2</v>
      </c>
      <c r="L88">
        <v>0</v>
      </c>
      <c r="M88">
        <f t="shared" si="10"/>
        <v>2.8215E-2</v>
      </c>
      <c r="N88">
        <f t="shared" si="11"/>
        <v>-2.8215E-2</v>
      </c>
      <c r="O88" s="5">
        <v>0.57894736842105265</v>
      </c>
      <c r="P88" s="5">
        <v>0.81052631578947365</v>
      </c>
      <c r="Q88" s="5">
        <v>0.3473684210526316</v>
      </c>
    </row>
    <row r="89" spans="1:19" x14ac:dyDescent="0.25">
      <c r="A89" s="1">
        <v>87</v>
      </c>
      <c r="B89">
        <v>87</v>
      </c>
      <c r="C89">
        <v>1</v>
      </c>
      <c r="D89" t="s">
        <v>407</v>
      </c>
      <c r="E89">
        <v>144</v>
      </c>
      <c r="F89" s="13">
        <v>220</v>
      </c>
      <c r="G89">
        <v>5</v>
      </c>
      <c r="I89" s="21">
        <f t="shared" si="13"/>
        <v>2.5199999999999997E-2</v>
      </c>
      <c r="J89">
        <v>0</v>
      </c>
      <c r="K89">
        <f t="shared" si="9"/>
        <v>7.1999999999999995E-2</v>
      </c>
      <c r="L89">
        <v>0</v>
      </c>
      <c r="M89">
        <f t="shared" si="10"/>
        <v>2.376E-2</v>
      </c>
      <c r="N89">
        <f t="shared" si="11"/>
        <v>-2.376E-2</v>
      </c>
      <c r="O89" s="5">
        <v>0.57894736842105265</v>
      </c>
      <c r="P89" s="5">
        <v>0.81052631578947365</v>
      </c>
      <c r="Q89" s="5">
        <v>0.3473684210526316</v>
      </c>
    </row>
    <row r="90" spans="1:19" x14ac:dyDescent="0.25">
      <c r="A90" s="1">
        <v>88</v>
      </c>
      <c r="B90">
        <v>88</v>
      </c>
      <c r="C90">
        <v>1</v>
      </c>
      <c r="D90" t="s">
        <v>408</v>
      </c>
      <c r="E90">
        <v>285</v>
      </c>
      <c r="F90" s="13">
        <v>220</v>
      </c>
      <c r="G90">
        <v>5</v>
      </c>
      <c r="I90" s="21">
        <f t="shared" si="13"/>
        <v>4.9874999999999996E-2</v>
      </c>
      <c r="J90">
        <v>0</v>
      </c>
      <c r="K90">
        <f t="shared" si="9"/>
        <v>0.14249999999999999</v>
      </c>
      <c r="L90">
        <v>0</v>
      </c>
      <c r="M90">
        <f t="shared" si="10"/>
        <v>4.7025000000000004E-2</v>
      </c>
      <c r="N90">
        <f t="shared" si="11"/>
        <v>-4.7025000000000004E-2</v>
      </c>
      <c r="O90" s="5">
        <v>0.57894736842105265</v>
      </c>
      <c r="P90" s="5">
        <v>0.81052631578947365</v>
      </c>
      <c r="Q90" s="5">
        <v>0.3473684210526316</v>
      </c>
    </row>
    <row r="91" spans="1:19" x14ac:dyDescent="0.25">
      <c r="A91" s="1">
        <v>89</v>
      </c>
      <c r="B91">
        <v>89</v>
      </c>
      <c r="C91">
        <v>1</v>
      </c>
      <c r="D91" t="s">
        <v>409</v>
      </c>
      <c r="E91">
        <v>102</v>
      </c>
      <c r="F91">
        <v>380</v>
      </c>
      <c r="G91">
        <v>28</v>
      </c>
      <c r="I91" s="21">
        <f t="shared" si="13"/>
        <v>1.7849999999999998E-2</v>
      </c>
      <c r="J91">
        <v>0</v>
      </c>
      <c r="K91">
        <f t="shared" si="9"/>
        <v>5.0999999999999997E-2</v>
      </c>
      <c r="L91">
        <v>0</v>
      </c>
      <c r="M91">
        <f t="shared" si="10"/>
        <v>1.6830000000000001E-2</v>
      </c>
      <c r="N91">
        <f t="shared" si="11"/>
        <v>-1.6830000000000001E-2</v>
      </c>
      <c r="O91">
        <v>1</v>
      </c>
    </row>
    <row r="92" spans="1:19" x14ac:dyDescent="0.25">
      <c r="A92" s="1">
        <v>90</v>
      </c>
      <c r="B92">
        <v>90</v>
      </c>
      <c r="C92">
        <v>1</v>
      </c>
      <c r="D92" t="s">
        <v>410</v>
      </c>
      <c r="E92">
        <v>82.5</v>
      </c>
      <c r="F92">
        <v>380</v>
      </c>
      <c r="G92">
        <v>30</v>
      </c>
      <c r="I92" s="21">
        <f t="shared" si="13"/>
        <v>1.4437499999999999E-2</v>
      </c>
      <c r="J92">
        <v>0</v>
      </c>
      <c r="K92">
        <f t="shared" si="9"/>
        <v>4.1250000000000002E-2</v>
      </c>
      <c r="L92">
        <v>0</v>
      </c>
      <c r="M92">
        <f t="shared" si="10"/>
        <v>1.3612500000000001E-2</v>
      </c>
      <c r="N92">
        <f t="shared" si="11"/>
        <v>-1.3612500000000001E-2</v>
      </c>
      <c r="O92">
        <v>1</v>
      </c>
    </row>
    <row r="93" spans="1:19" x14ac:dyDescent="0.25">
      <c r="A93" s="1">
        <v>91</v>
      </c>
      <c r="B93">
        <v>91</v>
      </c>
      <c r="C93">
        <v>1</v>
      </c>
      <c r="D93" t="s">
        <v>411</v>
      </c>
      <c r="E93">
        <v>62.7</v>
      </c>
      <c r="F93" s="13">
        <v>220</v>
      </c>
      <c r="G93">
        <v>8</v>
      </c>
      <c r="I93" s="21">
        <f t="shared" si="13"/>
        <v>1.09725E-2</v>
      </c>
      <c r="J93">
        <v>0</v>
      </c>
      <c r="K93">
        <f t="shared" si="9"/>
        <v>3.1350000000000003E-2</v>
      </c>
      <c r="L93">
        <v>0</v>
      </c>
      <c r="M93">
        <f t="shared" si="10"/>
        <v>1.0345500000000001E-2</v>
      </c>
      <c r="N93">
        <f t="shared" si="11"/>
        <v>-1.0345500000000001E-2</v>
      </c>
      <c r="O93" s="5">
        <v>0.57894736842105265</v>
      </c>
      <c r="P93" s="5">
        <v>0.81052631578947365</v>
      </c>
      <c r="Q93" s="5">
        <v>0.3473684210526316</v>
      </c>
    </row>
    <row r="94" spans="1:19" x14ac:dyDescent="0.25">
      <c r="A94" s="1">
        <v>92</v>
      </c>
      <c r="B94">
        <v>92</v>
      </c>
      <c r="C94">
        <v>1</v>
      </c>
      <c r="D94" t="s">
        <v>412</v>
      </c>
      <c r="E94">
        <v>50.4</v>
      </c>
      <c r="F94">
        <v>380</v>
      </c>
      <c r="G94">
        <v>28</v>
      </c>
      <c r="I94" s="21">
        <f t="shared" si="13"/>
        <v>8.8199999999999997E-3</v>
      </c>
      <c r="J94">
        <v>0</v>
      </c>
      <c r="K94">
        <f t="shared" si="9"/>
        <v>2.52E-2</v>
      </c>
      <c r="L94">
        <v>0</v>
      </c>
      <c r="M94">
        <f t="shared" si="10"/>
        <v>8.3160000000000005E-3</v>
      </c>
      <c r="N94">
        <f t="shared" si="11"/>
        <v>-8.3160000000000005E-3</v>
      </c>
      <c r="O94">
        <v>1</v>
      </c>
    </row>
    <row r="95" spans="1:19" x14ac:dyDescent="0.25">
      <c r="A95" s="1">
        <v>93</v>
      </c>
      <c r="B95">
        <v>93</v>
      </c>
      <c r="C95">
        <v>1</v>
      </c>
      <c r="D95" t="s">
        <v>413</v>
      </c>
      <c r="E95">
        <v>316</v>
      </c>
      <c r="F95">
        <v>380</v>
      </c>
      <c r="G95">
        <v>29</v>
      </c>
      <c r="I95" s="21">
        <f t="shared" si="13"/>
        <v>5.5299999999999995E-2</v>
      </c>
      <c r="J95">
        <v>0</v>
      </c>
      <c r="K95">
        <f t="shared" si="9"/>
        <v>0.158</v>
      </c>
      <c r="L95">
        <v>0</v>
      </c>
      <c r="M95">
        <f t="shared" si="10"/>
        <v>5.2139999999999999E-2</v>
      </c>
      <c r="N95">
        <f t="shared" si="11"/>
        <v>-5.2139999999999999E-2</v>
      </c>
      <c r="O95">
        <v>1</v>
      </c>
    </row>
    <row r="96" spans="1:19" x14ac:dyDescent="0.25">
      <c r="A96" s="1">
        <v>94</v>
      </c>
      <c r="B96">
        <v>94</v>
      </c>
      <c r="C96">
        <v>1</v>
      </c>
      <c r="D96" t="s">
        <v>414</v>
      </c>
      <c r="E96">
        <v>84</v>
      </c>
      <c r="F96" s="13">
        <v>220</v>
      </c>
      <c r="G96">
        <v>4</v>
      </c>
      <c r="I96" s="21">
        <f t="shared" si="13"/>
        <v>1.47E-2</v>
      </c>
      <c r="J96">
        <v>0</v>
      </c>
      <c r="K96">
        <f t="shared" si="9"/>
        <v>4.2000000000000003E-2</v>
      </c>
      <c r="L96">
        <v>0</v>
      </c>
      <c r="M96">
        <f t="shared" si="10"/>
        <v>1.3860000000000001E-2</v>
      </c>
      <c r="N96">
        <f t="shared" si="11"/>
        <v>-1.3860000000000001E-2</v>
      </c>
      <c r="O96" s="5">
        <v>0.57894736842105265</v>
      </c>
      <c r="P96" s="5">
        <v>0.81052631578947365</v>
      </c>
      <c r="Q96" s="5">
        <v>0.3473684210526316</v>
      </c>
    </row>
    <row r="97" spans="1:17" x14ac:dyDescent="0.25">
      <c r="A97" s="1">
        <v>95</v>
      </c>
      <c r="B97">
        <v>95</v>
      </c>
      <c r="C97">
        <v>1</v>
      </c>
      <c r="D97" t="s">
        <v>415</v>
      </c>
      <c r="E97">
        <v>63</v>
      </c>
      <c r="F97" s="13">
        <v>220</v>
      </c>
      <c r="G97">
        <v>4</v>
      </c>
      <c r="I97" s="21">
        <f t="shared" si="13"/>
        <v>1.1025E-2</v>
      </c>
      <c r="J97">
        <v>0</v>
      </c>
      <c r="K97">
        <f t="shared" si="9"/>
        <v>3.15E-2</v>
      </c>
      <c r="L97">
        <v>0</v>
      </c>
      <c r="M97">
        <f t="shared" si="10"/>
        <v>1.0395000000000001E-2</v>
      </c>
      <c r="N97">
        <f t="shared" si="11"/>
        <v>-1.0395000000000001E-2</v>
      </c>
      <c r="O97" s="5">
        <v>0.57894736842105265</v>
      </c>
      <c r="P97" s="5">
        <v>0.81052631578947365</v>
      </c>
      <c r="Q97" s="5">
        <v>0.3473684210526316</v>
      </c>
    </row>
    <row r="98" spans="1:17" x14ac:dyDescent="0.25">
      <c r="A98" s="1">
        <v>96</v>
      </c>
      <c r="B98">
        <v>96</v>
      </c>
      <c r="C98">
        <v>1</v>
      </c>
      <c r="D98" s="6" t="s">
        <v>416</v>
      </c>
      <c r="E98" s="20">
        <v>782</v>
      </c>
      <c r="F98">
        <v>380</v>
      </c>
      <c r="G98">
        <v>29</v>
      </c>
      <c r="I98" s="21">
        <f t="shared" si="13"/>
        <v>0.13685</v>
      </c>
      <c r="J98">
        <v>0</v>
      </c>
      <c r="K98">
        <f t="shared" si="9"/>
        <v>0.39100000000000001</v>
      </c>
      <c r="L98">
        <v>0</v>
      </c>
      <c r="M98">
        <f t="shared" si="10"/>
        <v>0.12903000000000001</v>
      </c>
      <c r="N98">
        <f t="shared" si="11"/>
        <v>-0.12903000000000001</v>
      </c>
      <c r="O98">
        <v>1</v>
      </c>
    </row>
    <row r="99" spans="1:17" x14ac:dyDescent="0.25">
      <c r="A99" s="1">
        <v>97</v>
      </c>
      <c r="B99">
        <v>97</v>
      </c>
      <c r="C99">
        <v>1</v>
      </c>
      <c r="D99" s="6" t="s">
        <v>417</v>
      </c>
      <c r="E99" s="20">
        <v>823</v>
      </c>
      <c r="F99">
        <v>380</v>
      </c>
      <c r="G99">
        <v>32</v>
      </c>
      <c r="I99" s="21">
        <f t="shared" si="13"/>
        <v>0.14402499999999999</v>
      </c>
      <c r="J99">
        <v>0</v>
      </c>
      <c r="K99">
        <f t="shared" si="9"/>
        <v>0.41149999999999998</v>
      </c>
      <c r="L99">
        <v>0</v>
      </c>
      <c r="M99">
        <f t="shared" si="10"/>
        <v>0.13579500000000003</v>
      </c>
      <c r="N99">
        <f t="shared" si="11"/>
        <v>-0.13579500000000003</v>
      </c>
      <c r="O99">
        <v>1</v>
      </c>
    </row>
    <row r="100" spans="1:17" x14ac:dyDescent="0.25">
      <c r="A100" s="1">
        <v>98</v>
      </c>
      <c r="B100">
        <v>98</v>
      </c>
      <c r="C100">
        <v>1</v>
      </c>
      <c r="D100" s="6" t="s">
        <v>418</v>
      </c>
      <c r="E100" s="20">
        <v>669</v>
      </c>
      <c r="F100">
        <v>380</v>
      </c>
      <c r="G100">
        <v>11</v>
      </c>
      <c r="I100" s="21">
        <f t="shared" si="13"/>
        <v>0.117075</v>
      </c>
      <c r="J100">
        <v>0</v>
      </c>
      <c r="K100">
        <f t="shared" si="9"/>
        <v>0.33450000000000002</v>
      </c>
      <c r="L100">
        <v>0</v>
      </c>
      <c r="M100">
        <f t="shared" si="10"/>
        <v>0.11038500000000001</v>
      </c>
      <c r="N100">
        <f t="shared" si="11"/>
        <v>-0.11038500000000001</v>
      </c>
      <c r="O100">
        <v>1</v>
      </c>
    </row>
    <row r="101" spans="1:17" x14ac:dyDescent="0.25">
      <c r="A101" s="1">
        <v>99</v>
      </c>
      <c r="B101">
        <v>99</v>
      </c>
      <c r="C101">
        <v>1</v>
      </c>
      <c r="D101" s="6" t="s">
        <v>419</v>
      </c>
      <c r="E101" s="20">
        <v>2370</v>
      </c>
      <c r="F101">
        <v>380</v>
      </c>
      <c r="G101">
        <v>25</v>
      </c>
      <c r="I101" s="21">
        <f t="shared" si="13"/>
        <v>0.41475000000000001</v>
      </c>
      <c r="J101">
        <v>0</v>
      </c>
      <c r="K101">
        <f t="shared" si="9"/>
        <v>1.1850000000000001</v>
      </c>
      <c r="L101">
        <v>0</v>
      </c>
      <c r="M101">
        <f t="shared" si="10"/>
        <v>0.39105000000000001</v>
      </c>
      <c r="N101">
        <f t="shared" si="11"/>
        <v>-0.39105000000000001</v>
      </c>
      <c r="O101">
        <v>1</v>
      </c>
    </row>
    <row r="102" spans="1:17" x14ac:dyDescent="0.25">
      <c r="A102" s="1">
        <v>100</v>
      </c>
      <c r="B102">
        <v>100</v>
      </c>
      <c r="C102">
        <v>1</v>
      </c>
      <c r="D102" s="6" t="s">
        <v>420</v>
      </c>
      <c r="E102" s="20">
        <v>271</v>
      </c>
      <c r="F102">
        <v>380</v>
      </c>
      <c r="G102">
        <v>17</v>
      </c>
      <c r="I102" s="21">
        <f t="shared" si="13"/>
        <v>4.7425000000000002E-2</v>
      </c>
      <c r="J102">
        <v>0</v>
      </c>
      <c r="K102">
        <f t="shared" si="9"/>
        <v>0.13550000000000001</v>
      </c>
      <c r="L102">
        <v>0</v>
      </c>
      <c r="M102">
        <f t="shared" si="10"/>
        <v>4.4715000000000005E-2</v>
      </c>
      <c r="N102">
        <f t="shared" si="11"/>
        <v>-4.4715000000000005E-2</v>
      </c>
      <c r="O102">
        <v>1</v>
      </c>
    </row>
    <row r="103" spans="1:17" x14ac:dyDescent="0.25">
      <c r="A103" s="1">
        <v>101</v>
      </c>
      <c r="B103">
        <v>101</v>
      </c>
      <c r="C103">
        <v>1</v>
      </c>
      <c r="D103" s="6" t="s">
        <v>421</v>
      </c>
      <c r="E103" s="20">
        <v>1005</v>
      </c>
      <c r="F103" s="13">
        <v>220</v>
      </c>
      <c r="G103">
        <v>6</v>
      </c>
      <c r="I103" s="21">
        <f t="shared" si="13"/>
        <v>0.17587499999999998</v>
      </c>
      <c r="J103">
        <v>0</v>
      </c>
      <c r="K103">
        <f t="shared" si="9"/>
        <v>0.50249999999999995</v>
      </c>
      <c r="L103">
        <v>0</v>
      </c>
      <c r="M103">
        <f t="shared" si="10"/>
        <v>0.16582500000000003</v>
      </c>
      <c r="N103">
        <f t="shared" si="11"/>
        <v>-0.16582500000000003</v>
      </c>
      <c r="O103" s="5">
        <v>0.57894736842105265</v>
      </c>
      <c r="P103" s="5">
        <v>0.81052631578947365</v>
      </c>
      <c r="Q103" s="5">
        <v>0.3473684210526316</v>
      </c>
    </row>
    <row r="104" spans="1:17" x14ac:dyDescent="0.25">
      <c r="A104" s="1">
        <v>102</v>
      </c>
      <c r="B104">
        <v>102</v>
      </c>
      <c r="C104">
        <v>1</v>
      </c>
      <c r="D104" s="6" t="s">
        <v>422</v>
      </c>
      <c r="E104" s="20">
        <v>677</v>
      </c>
      <c r="F104" s="13">
        <v>220</v>
      </c>
      <c r="G104">
        <v>3</v>
      </c>
      <c r="I104" s="21">
        <f t="shared" si="13"/>
        <v>0.118475</v>
      </c>
      <c r="J104">
        <v>0</v>
      </c>
      <c r="K104">
        <f t="shared" si="9"/>
        <v>0.33850000000000002</v>
      </c>
      <c r="L104">
        <v>0</v>
      </c>
      <c r="M104">
        <f t="shared" si="10"/>
        <v>0.111705</v>
      </c>
      <c r="N104">
        <f t="shared" si="11"/>
        <v>-0.111705</v>
      </c>
      <c r="O104" s="5">
        <v>0.57894736842105265</v>
      </c>
      <c r="P104" s="5">
        <v>0.81052631578947365</v>
      </c>
      <c r="Q104" s="5">
        <v>0.3473684210526316</v>
      </c>
    </row>
    <row r="105" spans="1:17" x14ac:dyDescent="0.25">
      <c r="A105" s="1">
        <v>103</v>
      </c>
      <c r="B105">
        <v>103</v>
      </c>
      <c r="C105">
        <v>1</v>
      </c>
      <c r="D105" s="6" t="s">
        <v>423</v>
      </c>
      <c r="E105" s="20">
        <v>297</v>
      </c>
      <c r="F105" s="13">
        <v>220</v>
      </c>
      <c r="G105">
        <v>9</v>
      </c>
      <c r="I105" s="21">
        <f t="shared" si="13"/>
        <v>5.1974999999999993E-2</v>
      </c>
      <c r="J105">
        <v>0</v>
      </c>
      <c r="K105">
        <f t="shared" si="9"/>
        <v>0.14849999999999999</v>
      </c>
      <c r="L105">
        <v>0</v>
      </c>
      <c r="M105">
        <f t="shared" si="10"/>
        <v>4.9005E-2</v>
      </c>
      <c r="N105">
        <f t="shared" si="11"/>
        <v>-4.9005E-2</v>
      </c>
      <c r="O105" s="5">
        <v>0.57894736842105265</v>
      </c>
      <c r="P105" s="5">
        <v>0.81052631578947365</v>
      </c>
      <c r="Q105" s="5">
        <v>0.3473684210526316</v>
      </c>
    </row>
    <row r="106" spans="1:17" x14ac:dyDescent="0.25">
      <c r="A106" s="1">
        <v>104</v>
      </c>
      <c r="B106">
        <v>104</v>
      </c>
      <c r="C106">
        <v>1</v>
      </c>
      <c r="D106" s="6" t="s">
        <v>424</v>
      </c>
      <c r="E106" s="20">
        <v>95</v>
      </c>
      <c r="F106">
        <v>380</v>
      </c>
      <c r="G106">
        <v>34</v>
      </c>
      <c r="I106" s="21">
        <f t="shared" si="13"/>
        <v>1.6624999999999997E-2</v>
      </c>
      <c r="J106">
        <v>0</v>
      </c>
      <c r="K106">
        <f t="shared" si="9"/>
        <v>4.7500000000000001E-2</v>
      </c>
      <c r="L106">
        <v>0</v>
      </c>
      <c r="M106">
        <f t="shared" si="10"/>
        <v>1.5675000000000001E-2</v>
      </c>
      <c r="N106">
        <f t="shared" si="11"/>
        <v>-1.5675000000000001E-2</v>
      </c>
      <c r="O106">
        <v>1</v>
      </c>
    </row>
    <row r="107" spans="1:17" x14ac:dyDescent="0.25">
      <c r="A107" s="1">
        <v>105</v>
      </c>
      <c r="B107">
        <v>105</v>
      </c>
      <c r="C107">
        <v>1</v>
      </c>
      <c r="D107" s="6" t="s">
        <v>425</v>
      </c>
      <c r="E107" s="20">
        <v>137</v>
      </c>
      <c r="F107">
        <v>380</v>
      </c>
      <c r="G107">
        <v>26</v>
      </c>
      <c r="I107" s="21">
        <f t="shared" si="13"/>
        <v>2.3975E-2</v>
      </c>
      <c r="J107">
        <v>0</v>
      </c>
      <c r="K107">
        <f t="shared" si="9"/>
        <v>6.8500000000000005E-2</v>
      </c>
      <c r="L107">
        <v>0</v>
      </c>
      <c r="M107">
        <f t="shared" si="10"/>
        <v>2.2605E-2</v>
      </c>
      <c r="N107">
        <f t="shared" si="11"/>
        <v>-2.2605E-2</v>
      </c>
      <c r="O107">
        <v>1</v>
      </c>
    </row>
    <row r="108" spans="1:17" x14ac:dyDescent="0.25">
      <c r="A108" s="1">
        <v>106</v>
      </c>
      <c r="B108">
        <v>106</v>
      </c>
      <c r="C108">
        <v>1</v>
      </c>
      <c r="D108" s="6" t="s">
        <v>426</v>
      </c>
      <c r="E108" s="20">
        <v>465</v>
      </c>
      <c r="F108">
        <v>380</v>
      </c>
      <c r="G108">
        <v>22</v>
      </c>
      <c r="I108" s="21">
        <f t="shared" si="13"/>
        <v>8.1375000000000003E-2</v>
      </c>
      <c r="J108">
        <v>0</v>
      </c>
      <c r="K108">
        <f t="shared" si="9"/>
        <v>0.23250000000000001</v>
      </c>
      <c r="L108">
        <v>0</v>
      </c>
      <c r="M108">
        <f t="shared" si="10"/>
        <v>7.6725000000000015E-2</v>
      </c>
      <c r="N108">
        <f t="shared" si="11"/>
        <v>-7.6725000000000015E-2</v>
      </c>
      <c r="O108">
        <v>1</v>
      </c>
    </row>
    <row r="109" spans="1:17" x14ac:dyDescent="0.25">
      <c r="A109" s="1">
        <v>107</v>
      </c>
      <c r="B109">
        <v>107</v>
      </c>
      <c r="C109">
        <v>1</v>
      </c>
      <c r="D109" s="6" t="s">
        <v>427</v>
      </c>
      <c r="E109" s="20">
        <v>37</v>
      </c>
      <c r="F109">
        <v>380</v>
      </c>
      <c r="G109">
        <v>10</v>
      </c>
      <c r="I109" s="21">
        <f t="shared" si="13"/>
        <v>6.474999999999999E-3</v>
      </c>
      <c r="J109">
        <v>0</v>
      </c>
      <c r="K109">
        <f t="shared" si="9"/>
        <v>1.8499999999999999E-2</v>
      </c>
      <c r="L109">
        <v>0</v>
      </c>
      <c r="M109">
        <f t="shared" si="10"/>
        <v>6.1050000000000002E-3</v>
      </c>
      <c r="N109">
        <f t="shared" si="11"/>
        <v>-6.1050000000000002E-3</v>
      </c>
      <c r="O109">
        <v>1</v>
      </c>
    </row>
    <row r="110" spans="1:17" x14ac:dyDescent="0.25">
      <c r="A110" s="1">
        <v>108</v>
      </c>
      <c r="B110">
        <v>108</v>
      </c>
      <c r="C110">
        <v>1</v>
      </c>
      <c r="D110" t="s">
        <v>428</v>
      </c>
      <c r="E110">
        <v>110</v>
      </c>
      <c r="F110" s="13">
        <v>220</v>
      </c>
      <c r="G110">
        <v>4</v>
      </c>
      <c r="I110" s="22">
        <f>0.1*K110</f>
        <v>5.5000000000000005E-3</v>
      </c>
      <c r="J110">
        <v>0</v>
      </c>
      <c r="K110">
        <f t="shared" si="9"/>
        <v>5.5E-2</v>
      </c>
      <c r="L110">
        <v>0</v>
      </c>
      <c r="M110">
        <f t="shared" si="10"/>
        <v>1.8150000000000003E-2</v>
      </c>
      <c r="N110">
        <f t="shared" si="11"/>
        <v>-1.8150000000000003E-2</v>
      </c>
      <c r="O110" s="5">
        <v>0.57894736842105265</v>
      </c>
      <c r="P110" s="5">
        <v>0.81052631578947365</v>
      </c>
      <c r="Q110" s="5">
        <v>0.3473684210526316</v>
      </c>
    </row>
    <row r="111" spans="1:17" x14ac:dyDescent="0.25">
      <c r="A111" s="1">
        <v>109</v>
      </c>
      <c r="B111">
        <v>109</v>
      </c>
      <c r="C111">
        <v>1</v>
      </c>
      <c r="D111" t="s">
        <v>429</v>
      </c>
      <c r="E111">
        <v>102</v>
      </c>
      <c r="F111" s="13">
        <v>220</v>
      </c>
      <c r="G111">
        <v>4</v>
      </c>
      <c r="I111" s="22">
        <f t="shared" ref="I111:I125" si="14">0.1*K111</f>
        <v>5.1000000000000004E-3</v>
      </c>
      <c r="J111">
        <v>0</v>
      </c>
      <c r="K111">
        <f t="shared" si="9"/>
        <v>5.0999999999999997E-2</v>
      </c>
      <c r="L111">
        <v>0</v>
      </c>
      <c r="M111">
        <f t="shared" si="10"/>
        <v>1.6830000000000001E-2</v>
      </c>
      <c r="N111">
        <f t="shared" si="11"/>
        <v>-1.6830000000000001E-2</v>
      </c>
      <c r="O111" s="5">
        <v>0.57894736842105265</v>
      </c>
      <c r="P111" s="5">
        <v>0.81052631578947365</v>
      </c>
      <c r="Q111" s="5">
        <v>0.3473684210526316</v>
      </c>
    </row>
    <row r="112" spans="1:17" x14ac:dyDescent="0.25">
      <c r="A112" s="1">
        <v>110</v>
      </c>
      <c r="B112">
        <v>110</v>
      </c>
      <c r="C112">
        <v>1</v>
      </c>
      <c r="D112" t="s">
        <v>430</v>
      </c>
      <c r="E112">
        <v>64</v>
      </c>
      <c r="F112" s="13">
        <v>220</v>
      </c>
      <c r="G112">
        <v>4</v>
      </c>
      <c r="I112" s="22">
        <f t="shared" si="14"/>
        <v>3.2000000000000002E-3</v>
      </c>
      <c r="J112">
        <v>0</v>
      </c>
      <c r="K112">
        <f t="shared" si="9"/>
        <v>3.2000000000000001E-2</v>
      </c>
      <c r="L112">
        <v>0</v>
      </c>
      <c r="M112">
        <f t="shared" si="10"/>
        <v>1.056E-2</v>
      </c>
      <c r="N112">
        <f t="shared" si="11"/>
        <v>-1.056E-2</v>
      </c>
      <c r="O112" s="5">
        <v>0.57894736842105265</v>
      </c>
      <c r="P112" s="5">
        <v>0.81052631578947365</v>
      </c>
      <c r="Q112" s="5">
        <v>0.3473684210526316</v>
      </c>
    </row>
    <row r="113" spans="1:17" x14ac:dyDescent="0.25">
      <c r="A113" s="1">
        <v>111</v>
      </c>
      <c r="B113">
        <v>111</v>
      </c>
      <c r="C113">
        <v>1</v>
      </c>
      <c r="D113" t="s">
        <v>431</v>
      </c>
      <c r="E113">
        <v>54.5</v>
      </c>
      <c r="F113">
        <v>380</v>
      </c>
      <c r="G113">
        <v>11</v>
      </c>
      <c r="I113" s="22">
        <f t="shared" si="14"/>
        <v>2.725E-3</v>
      </c>
      <c r="J113">
        <v>0</v>
      </c>
      <c r="K113">
        <f t="shared" si="9"/>
        <v>2.725E-2</v>
      </c>
      <c r="L113">
        <v>0</v>
      </c>
      <c r="M113">
        <f t="shared" si="10"/>
        <v>8.9925000000000005E-3</v>
      </c>
      <c r="N113">
        <f t="shared" si="11"/>
        <v>-8.9925000000000005E-3</v>
      </c>
      <c r="O113">
        <v>1</v>
      </c>
    </row>
    <row r="114" spans="1:17" x14ac:dyDescent="0.25">
      <c r="A114" s="1">
        <v>112</v>
      </c>
      <c r="B114">
        <v>112</v>
      </c>
      <c r="C114">
        <v>1</v>
      </c>
      <c r="D114" s="6" t="s">
        <v>432</v>
      </c>
      <c r="E114">
        <v>7220</v>
      </c>
      <c r="F114">
        <v>380</v>
      </c>
      <c r="G114">
        <v>29</v>
      </c>
      <c r="I114" s="22">
        <f t="shared" si="14"/>
        <v>0.36099999999999999</v>
      </c>
      <c r="J114">
        <v>0</v>
      </c>
      <c r="K114">
        <f t="shared" si="9"/>
        <v>3.61</v>
      </c>
      <c r="L114">
        <v>0</v>
      </c>
      <c r="M114">
        <f t="shared" si="10"/>
        <v>1.1913</v>
      </c>
      <c r="N114">
        <f t="shared" si="11"/>
        <v>-1.1913</v>
      </c>
      <c r="O114">
        <v>1</v>
      </c>
    </row>
    <row r="115" spans="1:17" x14ac:dyDescent="0.25">
      <c r="A115" s="1">
        <v>113</v>
      </c>
      <c r="B115">
        <v>113</v>
      </c>
      <c r="C115">
        <v>1</v>
      </c>
      <c r="D115" s="6" t="s">
        <v>433</v>
      </c>
      <c r="E115">
        <v>9289</v>
      </c>
      <c r="F115">
        <v>380</v>
      </c>
      <c r="G115">
        <v>32</v>
      </c>
      <c r="I115" s="22">
        <f t="shared" si="14"/>
        <v>0.46445000000000003</v>
      </c>
      <c r="J115">
        <v>0</v>
      </c>
      <c r="K115">
        <f t="shared" si="9"/>
        <v>4.6444999999999999</v>
      </c>
      <c r="L115">
        <v>0</v>
      </c>
      <c r="M115">
        <f t="shared" si="10"/>
        <v>1.5326850000000001</v>
      </c>
      <c r="N115">
        <f t="shared" si="11"/>
        <v>-1.5326850000000001</v>
      </c>
      <c r="O115">
        <v>1</v>
      </c>
    </row>
    <row r="116" spans="1:17" x14ac:dyDescent="0.25">
      <c r="A116" s="1">
        <v>114</v>
      </c>
      <c r="B116">
        <v>114</v>
      </c>
      <c r="C116">
        <v>1</v>
      </c>
      <c r="D116" s="6" t="s">
        <v>434</v>
      </c>
      <c r="E116">
        <v>3066</v>
      </c>
      <c r="F116">
        <v>380</v>
      </c>
      <c r="G116">
        <v>11</v>
      </c>
      <c r="I116" s="22">
        <f t="shared" si="14"/>
        <v>0.15329999999999999</v>
      </c>
      <c r="J116">
        <v>0</v>
      </c>
      <c r="K116">
        <f t="shared" si="9"/>
        <v>1.5329999999999999</v>
      </c>
      <c r="L116">
        <v>0</v>
      </c>
      <c r="M116">
        <f t="shared" si="10"/>
        <v>0.50589000000000006</v>
      </c>
      <c r="N116">
        <f t="shared" si="11"/>
        <v>-0.50589000000000006</v>
      </c>
      <c r="O116">
        <v>1</v>
      </c>
    </row>
    <row r="117" spans="1:17" x14ac:dyDescent="0.25">
      <c r="A117" s="1">
        <v>115</v>
      </c>
      <c r="B117">
        <v>115</v>
      </c>
      <c r="C117">
        <v>1</v>
      </c>
      <c r="D117" s="6" t="s">
        <v>435</v>
      </c>
      <c r="E117">
        <v>3532</v>
      </c>
      <c r="F117">
        <v>380</v>
      </c>
      <c r="G117">
        <v>25</v>
      </c>
      <c r="I117" s="22">
        <f t="shared" si="14"/>
        <v>0.17660000000000001</v>
      </c>
      <c r="J117">
        <v>0</v>
      </c>
      <c r="K117">
        <f t="shared" si="9"/>
        <v>1.766</v>
      </c>
      <c r="L117">
        <v>0</v>
      </c>
      <c r="M117">
        <f t="shared" si="10"/>
        <v>0.58277999999999996</v>
      </c>
      <c r="N117">
        <f t="shared" si="11"/>
        <v>-0.58277999999999996</v>
      </c>
      <c r="O117">
        <v>1</v>
      </c>
    </row>
    <row r="118" spans="1:17" x14ac:dyDescent="0.25">
      <c r="A118" s="1">
        <v>116</v>
      </c>
      <c r="B118">
        <v>116</v>
      </c>
      <c r="C118">
        <v>1</v>
      </c>
      <c r="D118" s="6" t="s">
        <v>436</v>
      </c>
      <c r="E118">
        <v>10548</v>
      </c>
      <c r="F118">
        <v>380</v>
      </c>
      <c r="G118">
        <v>17</v>
      </c>
      <c r="I118" s="22">
        <f t="shared" si="14"/>
        <v>0.52739999999999998</v>
      </c>
      <c r="J118">
        <v>0</v>
      </c>
      <c r="K118">
        <f t="shared" si="9"/>
        <v>5.274</v>
      </c>
      <c r="L118">
        <v>0</v>
      </c>
      <c r="M118">
        <f t="shared" si="10"/>
        <v>1.7404200000000001</v>
      </c>
      <c r="N118">
        <f t="shared" si="11"/>
        <v>-1.7404200000000001</v>
      </c>
      <c r="O118">
        <v>1</v>
      </c>
    </row>
    <row r="119" spans="1:17" x14ac:dyDescent="0.25">
      <c r="A119" s="1">
        <v>117</v>
      </c>
      <c r="B119">
        <v>117</v>
      </c>
      <c r="C119">
        <v>1</v>
      </c>
      <c r="D119" s="6" t="s">
        <v>437</v>
      </c>
      <c r="E119">
        <v>5143</v>
      </c>
      <c r="F119" s="13">
        <v>220</v>
      </c>
      <c r="G119">
        <v>6</v>
      </c>
      <c r="I119" s="22">
        <f t="shared" si="14"/>
        <v>0.25714999999999999</v>
      </c>
      <c r="J119">
        <v>0</v>
      </c>
      <c r="K119">
        <f t="shared" si="9"/>
        <v>2.5714999999999999</v>
      </c>
      <c r="L119">
        <v>0</v>
      </c>
      <c r="M119">
        <f t="shared" si="10"/>
        <v>0.84859499999999999</v>
      </c>
      <c r="N119">
        <f t="shared" si="11"/>
        <v>-0.84859499999999999</v>
      </c>
      <c r="O119" s="5">
        <v>0.57894736842105265</v>
      </c>
      <c r="P119" s="5">
        <v>0.81052631578947365</v>
      </c>
      <c r="Q119" s="5">
        <v>0.3473684210526316</v>
      </c>
    </row>
    <row r="120" spans="1:17" x14ac:dyDescent="0.25">
      <c r="A120" s="1">
        <v>118</v>
      </c>
      <c r="B120">
        <v>118</v>
      </c>
      <c r="C120">
        <v>1</v>
      </c>
      <c r="D120" s="6" t="s">
        <v>438</v>
      </c>
      <c r="E120">
        <v>3919</v>
      </c>
      <c r="F120" s="13">
        <v>220</v>
      </c>
      <c r="G120">
        <v>3</v>
      </c>
      <c r="I120" s="22">
        <f t="shared" si="14"/>
        <v>0.19595000000000001</v>
      </c>
      <c r="J120">
        <v>0</v>
      </c>
      <c r="K120">
        <f t="shared" si="9"/>
        <v>1.9595</v>
      </c>
      <c r="L120">
        <v>0</v>
      </c>
      <c r="M120">
        <f t="shared" si="10"/>
        <v>0.64663499999999996</v>
      </c>
      <c r="N120">
        <f t="shared" si="11"/>
        <v>-0.64663499999999996</v>
      </c>
      <c r="O120" s="5">
        <v>0.57894736842105265</v>
      </c>
      <c r="P120" s="5">
        <v>0.81052631578947365</v>
      </c>
      <c r="Q120" s="5">
        <v>0.3473684210526316</v>
      </c>
    </row>
    <row r="121" spans="1:17" x14ac:dyDescent="0.25">
      <c r="A121" s="1">
        <v>119</v>
      </c>
      <c r="B121">
        <v>119</v>
      </c>
      <c r="C121">
        <v>1</v>
      </c>
      <c r="D121" s="6" t="s">
        <v>439</v>
      </c>
      <c r="E121">
        <v>5089</v>
      </c>
      <c r="F121" s="13">
        <v>220</v>
      </c>
      <c r="G121">
        <v>9</v>
      </c>
      <c r="I121" s="22">
        <f t="shared" si="14"/>
        <v>0.25445000000000001</v>
      </c>
      <c r="J121">
        <v>0</v>
      </c>
      <c r="K121">
        <f t="shared" si="9"/>
        <v>2.5445000000000002</v>
      </c>
      <c r="L121">
        <v>0</v>
      </c>
      <c r="M121">
        <f t="shared" si="10"/>
        <v>0.83968500000000001</v>
      </c>
      <c r="N121">
        <f t="shared" si="11"/>
        <v>-0.83968500000000001</v>
      </c>
      <c r="O121" s="5">
        <v>0.57894736842105265</v>
      </c>
      <c r="P121" s="5">
        <v>0.81052631578947365</v>
      </c>
      <c r="Q121" s="5">
        <v>0.3473684210526316</v>
      </c>
    </row>
    <row r="122" spans="1:17" x14ac:dyDescent="0.25">
      <c r="A122" s="1">
        <v>120</v>
      </c>
      <c r="B122">
        <v>120</v>
      </c>
      <c r="C122">
        <v>1</v>
      </c>
      <c r="D122" s="6" t="s">
        <v>440</v>
      </c>
      <c r="E122">
        <v>6301</v>
      </c>
      <c r="F122">
        <v>380</v>
      </c>
      <c r="G122">
        <v>34</v>
      </c>
      <c r="I122" s="22">
        <f t="shared" si="14"/>
        <v>0.31505000000000005</v>
      </c>
      <c r="J122">
        <v>0</v>
      </c>
      <c r="K122">
        <f t="shared" si="9"/>
        <v>3.1505000000000001</v>
      </c>
      <c r="L122">
        <v>0</v>
      </c>
      <c r="M122">
        <f t="shared" si="10"/>
        <v>1.0396650000000001</v>
      </c>
      <c r="N122">
        <f t="shared" si="11"/>
        <v>-1.0396650000000001</v>
      </c>
      <c r="O122">
        <v>1</v>
      </c>
    </row>
    <row r="123" spans="1:17" x14ac:dyDescent="0.25">
      <c r="A123" s="1">
        <v>121</v>
      </c>
      <c r="B123">
        <v>121</v>
      </c>
      <c r="C123">
        <v>1</v>
      </c>
      <c r="D123" s="6" t="s">
        <v>441</v>
      </c>
      <c r="E123">
        <v>5939</v>
      </c>
      <c r="F123">
        <v>380</v>
      </c>
      <c r="G123">
        <v>26</v>
      </c>
      <c r="I123" s="22">
        <f t="shared" si="14"/>
        <v>0.29694999999999999</v>
      </c>
      <c r="J123">
        <v>0</v>
      </c>
      <c r="K123">
        <f t="shared" si="9"/>
        <v>2.9695</v>
      </c>
      <c r="L123">
        <v>0</v>
      </c>
      <c r="M123">
        <f t="shared" si="10"/>
        <v>0.97993500000000011</v>
      </c>
      <c r="N123">
        <f t="shared" si="11"/>
        <v>-0.97993500000000011</v>
      </c>
      <c r="O123">
        <v>1</v>
      </c>
    </row>
    <row r="124" spans="1:17" x14ac:dyDescent="0.25">
      <c r="A124" s="1">
        <v>122</v>
      </c>
      <c r="B124">
        <v>122</v>
      </c>
      <c r="C124">
        <v>1</v>
      </c>
      <c r="D124" s="6" t="s">
        <v>442</v>
      </c>
      <c r="E124">
        <v>13039</v>
      </c>
      <c r="F124">
        <v>380</v>
      </c>
      <c r="G124">
        <v>22</v>
      </c>
      <c r="I124" s="22">
        <f t="shared" si="14"/>
        <v>0.65195000000000003</v>
      </c>
      <c r="J124">
        <v>0</v>
      </c>
      <c r="K124">
        <f t="shared" si="9"/>
        <v>6.5194999999999999</v>
      </c>
      <c r="L124">
        <v>0</v>
      </c>
      <c r="M124">
        <f t="shared" si="10"/>
        <v>2.1514349999999998</v>
      </c>
      <c r="N124">
        <f t="shared" si="11"/>
        <v>-2.1514349999999998</v>
      </c>
      <c r="O124">
        <v>1</v>
      </c>
    </row>
    <row r="125" spans="1:17" x14ac:dyDescent="0.25">
      <c r="A125" s="1">
        <v>123</v>
      </c>
      <c r="B125">
        <v>123</v>
      </c>
      <c r="C125">
        <v>1</v>
      </c>
      <c r="D125" s="6" t="s">
        <v>443</v>
      </c>
      <c r="E125">
        <v>4260</v>
      </c>
      <c r="F125">
        <v>380</v>
      </c>
      <c r="G125">
        <v>10</v>
      </c>
      <c r="I125" s="22">
        <f t="shared" si="14"/>
        <v>0.21299999999999999</v>
      </c>
      <c r="J125">
        <v>0</v>
      </c>
      <c r="K125">
        <f t="shared" si="9"/>
        <v>2.13</v>
      </c>
      <c r="L125">
        <v>0</v>
      </c>
      <c r="M125">
        <f t="shared" si="10"/>
        <v>0.70289999999999997</v>
      </c>
      <c r="N125">
        <f t="shared" si="11"/>
        <v>-0.70289999999999997</v>
      </c>
      <c r="O125">
        <v>1</v>
      </c>
    </row>
    <row r="126" spans="1:17" x14ac:dyDescent="0.25">
      <c r="A126" s="11">
        <v>124</v>
      </c>
      <c r="B126">
        <v>124</v>
      </c>
      <c r="C126">
        <v>1</v>
      </c>
      <c r="D126" t="s">
        <v>444</v>
      </c>
      <c r="E126">
        <v>760</v>
      </c>
      <c r="F126">
        <v>380</v>
      </c>
      <c r="G126" s="7">
        <v>28</v>
      </c>
      <c r="I126" s="21">
        <f>0.35*K126</f>
        <v>0.13299999999999998</v>
      </c>
      <c r="J126">
        <v>0</v>
      </c>
      <c r="K126">
        <f t="shared" si="9"/>
        <v>0.38</v>
      </c>
      <c r="L126">
        <v>0</v>
      </c>
      <c r="M126">
        <f t="shared" si="10"/>
        <v>0.12540000000000001</v>
      </c>
      <c r="N126">
        <f t="shared" si="11"/>
        <v>-0.12540000000000001</v>
      </c>
      <c r="O126">
        <v>1</v>
      </c>
    </row>
    <row r="127" spans="1:17" x14ac:dyDescent="0.25">
      <c r="A127" s="11">
        <v>125</v>
      </c>
      <c r="B127">
        <v>125</v>
      </c>
      <c r="C127">
        <v>1</v>
      </c>
      <c r="D127" t="s">
        <v>445</v>
      </c>
      <c r="E127">
        <v>760</v>
      </c>
      <c r="F127">
        <v>380</v>
      </c>
      <c r="G127" s="7">
        <v>28</v>
      </c>
      <c r="I127" s="21">
        <f t="shared" ref="I127:I143" si="15">0.35*K127</f>
        <v>0.13299999999999998</v>
      </c>
      <c r="J127">
        <v>0</v>
      </c>
      <c r="K127">
        <f t="shared" si="9"/>
        <v>0.38</v>
      </c>
      <c r="L127">
        <v>0</v>
      </c>
      <c r="M127">
        <f t="shared" si="10"/>
        <v>0.12540000000000001</v>
      </c>
      <c r="N127">
        <f t="shared" si="11"/>
        <v>-0.12540000000000001</v>
      </c>
      <c r="O127">
        <v>1</v>
      </c>
    </row>
    <row r="128" spans="1:17" x14ac:dyDescent="0.25">
      <c r="A128" s="11">
        <v>126</v>
      </c>
      <c r="B128">
        <v>126</v>
      </c>
      <c r="C128">
        <v>1</v>
      </c>
      <c r="D128" t="s">
        <v>446</v>
      </c>
      <c r="E128">
        <v>759</v>
      </c>
      <c r="F128">
        <v>380</v>
      </c>
      <c r="G128" s="7">
        <v>12</v>
      </c>
      <c r="I128" s="21">
        <f t="shared" si="15"/>
        <v>0.132825</v>
      </c>
      <c r="J128">
        <v>0</v>
      </c>
      <c r="K128">
        <f t="shared" si="9"/>
        <v>0.3795</v>
      </c>
      <c r="L128">
        <v>0</v>
      </c>
      <c r="M128">
        <f t="shared" si="10"/>
        <v>0.12523500000000001</v>
      </c>
      <c r="N128">
        <f t="shared" si="11"/>
        <v>-0.12523500000000001</v>
      </c>
      <c r="O128">
        <v>1</v>
      </c>
    </row>
    <row r="129" spans="1:15" x14ac:dyDescent="0.25">
      <c r="A129" s="11">
        <v>127</v>
      </c>
      <c r="B129">
        <v>127</v>
      </c>
      <c r="C129">
        <v>1</v>
      </c>
      <c r="D129" t="s">
        <v>447</v>
      </c>
      <c r="E129">
        <v>756</v>
      </c>
      <c r="F129">
        <v>380</v>
      </c>
      <c r="G129" s="7">
        <v>12</v>
      </c>
      <c r="I129" s="21">
        <f t="shared" si="15"/>
        <v>0.1323</v>
      </c>
      <c r="J129">
        <v>0</v>
      </c>
      <c r="K129">
        <f t="shared" si="9"/>
        <v>0.378</v>
      </c>
      <c r="L129">
        <v>0</v>
      </c>
      <c r="M129">
        <f t="shared" si="10"/>
        <v>0.12474</v>
      </c>
      <c r="N129">
        <f t="shared" si="11"/>
        <v>-0.12474</v>
      </c>
      <c r="O129">
        <v>1</v>
      </c>
    </row>
    <row r="130" spans="1:15" x14ac:dyDescent="0.25">
      <c r="A130" s="11">
        <v>128</v>
      </c>
      <c r="B130">
        <v>128</v>
      </c>
      <c r="C130">
        <v>1</v>
      </c>
      <c r="D130" t="s">
        <v>448</v>
      </c>
      <c r="E130">
        <v>700</v>
      </c>
      <c r="F130">
        <v>380</v>
      </c>
      <c r="G130" s="7">
        <v>12</v>
      </c>
      <c r="I130" s="21">
        <f t="shared" si="15"/>
        <v>0.12249999999999998</v>
      </c>
      <c r="J130">
        <v>0</v>
      </c>
      <c r="K130">
        <f t="shared" si="9"/>
        <v>0.35</v>
      </c>
      <c r="L130">
        <v>0</v>
      </c>
      <c r="M130">
        <f t="shared" si="10"/>
        <v>0.11550000000000001</v>
      </c>
      <c r="N130">
        <f t="shared" si="11"/>
        <v>-0.11550000000000001</v>
      </c>
      <c r="O130">
        <v>1</v>
      </c>
    </row>
    <row r="131" spans="1:15" x14ac:dyDescent="0.25">
      <c r="A131" s="11">
        <v>129</v>
      </c>
      <c r="B131">
        <v>129</v>
      </c>
      <c r="C131">
        <v>1</v>
      </c>
      <c r="D131" t="s">
        <v>449</v>
      </c>
      <c r="E131">
        <v>580</v>
      </c>
      <c r="F131">
        <v>380</v>
      </c>
      <c r="G131" s="7">
        <v>12</v>
      </c>
      <c r="I131" s="21">
        <f t="shared" si="15"/>
        <v>0.10149999999999999</v>
      </c>
      <c r="J131">
        <v>0</v>
      </c>
      <c r="K131">
        <f t="shared" ref="K131:K171" si="16">E131/2000</f>
        <v>0.28999999999999998</v>
      </c>
      <c r="L131">
        <v>0</v>
      </c>
      <c r="M131">
        <f t="shared" si="10"/>
        <v>9.5700000000000007E-2</v>
      </c>
      <c r="N131">
        <f t="shared" si="11"/>
        <v>-9.5700000000000007E-2</v>
      </c>
      <c r="O131">
        <v>1</v>
      </c>
    </row>
    <row r="132" spans="1:15" x14ac:dyDescent="0.25">
      <c r="A132" s="11">
        <v>130</v>
      </c>
      <c r="B132">
        <v>130</v>
      </c>
      <c r="C132">
        <v>1</v>
      </c>
      <c r="D132" t="s">
        <v>450</v>
      </c>
      <c r="E132">
        <v>752</v>
      </c>
      <c r="F132">
        <v>380</v>
      </c>
      <c r="G132" s="7">
        <v>11</v>
      </c>
      <c r="I132" s="21">
        <f t="shared" si="15"/>
        <v>0.13159999999999999</v>
      </c>
      <c r="J132">
        <v>0</v>
      </c>
      <c r="K132">
        <f t="shared" si="16"/>
        <v>0.376</v>
      </c>
      <c r="L132">
        <v>0</v>
      </c>
      <c r="M132">
        <f t="shared" si="10"/>
        <v>0.12408000000000001</v>
      </c>
      <c r="N132">
        <f t="shared" si="11"/>
        <v>-0.12408000000000001</v>
      </c>
      <c r="O132">
        <v>1</v>
      </c>
    </row>
    <row r="133" spans="1:15" x14ac:dyDescent="0.25">
      <c r="A133" s="11">
        <v>131</v>
      </c>
      <c r="B133">
        <v>131</v>
      </c>
      <c r="C133">
        <v>1</v>
      </c>
      <c r="D133" t="s">
        <v>451</v>
      </c>
      <c r="E133">
        <v>731.5</v>
      </c>
      <c r="F133">
        <v>380</v>
      </c>
      <c r="G133" s="7">
        <v>11</v>
      </c>
      <c r="I133" s="21">
        <f t="shared" si="15"/>
        <v>0.1280125</v>
      </c>
      <c r="J133">
        <v>0</v>
      </c>
      <c r="K133">
        <f t="shared" si="16"/>
        <v>0.36575000000000002</v>
      </c>
      <c r="L133">
        <v>0</v>
      </c>
      <c r="M133">
        <f t="shared" si="10"/>
        <v>0.1206975</v>
      </c>
      <c r="N133">
        <f t="shared" si="11"/>
        <v>-0.1206975</v>
      </c>
      <c r="O133">
        <v>1</v>
      </c>
    </row>
    <row r="134" spans="1:15" x14ac:dyDescent="0.25">
      <c r="A134" s="11">
        <v>132</v>
      </c>
      <c r="B134">
        <v>132</v>
      </c>
      <c r="C134">
        <v>1</v>
      </c>
      <c r="D134" t="s">
        <v>452</v>
      </c>
      <c r="E134">
        <v>19</v>
      </c>
      <c r="F134">
        <v>380</v>
      </c>
      <c r="G134" s="7">
        <v>11</v>
      </c>
      <c r="I134" s="21">
        <f t="shared" si="15"/>
        <v>3.3249999999999998E-3</v>
      </c>
      <c r="J134">
        <v>0</v>
      </c>
      <c r="K134">
        <f t="shared" si="16"/>
        <v>9.4999999999999998E-3</v>
      </c>
      <c r="L134">
        <v>0</v>
      </c>
      <c r="M134">
        <f t="shared" si="10"/>
        <v>3.1350000000000002E-3</v>
      </c>
      <c r="N134">
        <f t="shared" si="11"/>
        <v>-3.1350000000000002E-3</v>
      </c>
      <c r="O134">
        <v>1</v>
      </c>
    </row>
    <row r="135" spans="1:15" x14ac:dyDescent="0.25">
      <c r="A135" s="11">
        <v>133</v>
      </c>
      <c r="B135">
        <v>133</v>
      </c>
      <c r="C135">
        <v>1</v>
      </c>
      <c r="D135" t="s">
        <v>453</v>
      </c>
      <c r="E135">
        <v>2000</v>
      </c>
      <c r="F135">
        <v>380</v>
      </c>
      <c r="G135" s="7">
        <v>28</v>
      </c>
      <c r="I135" s="21">
        <f t="shared" si="15"/>
        <v>0.35</v>
      </c>
      <c r="J135">
        <v>0</v>
      </c>
      <c r="K135">
        <f t="shared" si="16"/>
        <v>1</v>
      </c>
      <c r="L135">
        <v>0</v>
      </c>
      <c r="M135">
        <f t="shared" si="10"/>
        <v>0.33</v>
      </c>
      <c r="N135">
        <f t="shared" si="11"/>
        <v>-0.33</v>
      </c>
      <c r="O135">
        <v>1</v>
      </c>
    </row>
    <row r="136" spans="1:15" x14ac:dyDescent="0.25">
      <c r="A136" s="11">
        <v>134</v>
      </c>
      <c r="B136">
        <v>134</v>
      </c>
      <c r="C136">
        <v>1</v>
      </c>
      <c r="D136" t="s">
        <v>454</v>
      </c>
      <c r="E136">
        <v>2000</v>
      </c>
      <c r="F136">
        <v>380</v>
      </c>
      <c r="G136" s="7">
        <v>11</v>
      </c>
      <c r="I136" s="21">
        <f t="shared" si="15"/>
        <v>0.35</v>
      </c>
      <c r="J136">
        <v>0</v>
      </c>
      <c r="K136">
        <f t="shared" si="16"/>
        <v>1</v>
      </c>
      <c r="L136">
        <v>0</v>
      </c>
      <c r="M136">
        <f t="shared" si="10"/>
        <v>0.33</v>
      </c>
      <c r="N136">
        <f t="shared" si="11"/>
        <v>-0.33</v>
      </c>
      <c r="O136">
        <v>1</v>
      </c>
    </row>
    <row r="137" spans="1:15" x14ac:dyDescent="0.25">
      <c r="A137" s="11">
        <v>135</v>
      </c>
      <c r="B137">
        <v>135</v>
      </c>
      <c r="C137">
        <v>1</v>
      </c>
      <c r="D137" t="s">
        <v>455</v>
      </c>
      <c r="E137">
        <v>2000</v>
      </c>
      <c r="F137">
        <v>380</v>
      </c>
      <c r="G137" s="7">
        <v>28</v>
      </c>
      <c r="I137" s="21">
        <f t="shared" si="15"/>
        <v>0.35</v>
      </c>
      <c r="J137">
        <v>0</v>
      </c>
      <c r="K137">
        <f t="shared" si="16"/>
        <v>1</v>
      </c>
      <c r="L137">
        <v>0</v>
      </c>
      <c r="M137">
        <f t="shared" si="10"/>
        <v>0.33</v>
      </c>
      <c r="N137">
        <f t="shared" si="11"/>
        <v>-0.33</v>
      </c>
      <c r="O137">
        <v>1</v>
      </c>
    </row>
    <row r="138" spans="1:15" x14ac:dyDescent="0.25">
      <c r="A138" s="11">
        <v>136</v>
      </c>
      <c r="B138">
        <v>136</v>
      </c>
      <c r="C138">
        <v>1</v>
      </c>
      <c r="D138" t="s">
        <v>487</v>
      </c>
      <c r="E138">
        <v>3000</v>
      </c>
      <c r="F138">
        <v>380</v>
      </c>
      <c r="G138" s="7">
        <v>22</v>
      </c>
      <c r="I138" s="21">
        <f t="shared" si="15"/>
        <v>0.52499999999999991</v>
      </c>
      <c r="J138">
        <v>0</v>
      </c>
      <c r="K138">
        <f t="shared" si="16"/>
        <v>1.5</v>
      </c>
      <c r="L138">
        <v>0</v>
      </c>
      <c r="M138">
        <f t="shared" si="10"/>
        <v>0.495</v>
      </c>
      <c r="N138">
        <f t="shared" si="11"/>
        <v>-0.495</v>
      </c>
      <c r="O138">
        <v>1</v>
      </c>
    </row>
    <row r="139" spans="1:15" x14ac:dyDescent="0.25">
      <c r="A139" s="11">
        <v>137</v>
      </c>
      <c r="B139">
        <v>137</v>
      </c>
      <c r="C139">
        <v>1</v>
      </c>
      <c r="D139" t="s">
        <v>488</v>
      </c>
      <c r="E139">
        <v>3000</v>
      </c>
      <c r="F139">
        <v>380</v>
      </c>
      <c r="G139" s="7">
        <v>22</v>
      </c>
      <c r="I139" s="21">
        <f t="shared" si="15"/>
        <v>0.52499999999999991</v>
      </c>
      <c r="J139">
        <v>0</v>
      </c>
      <c r="K139">
        <f t="shared" si="16"/>
        <v>1.5</v>
      </c>
      <c r="L139">
        <v>0</v>
      </c>
      <c r="M139">
        <f t="shared" si="10"/>
        <v>0.495</v>
      </c>
      <c r="N139">
        <f t="shared" si="11"/>
        <v>-0.495</v>
      </c>
      <c r="O139">
        <v>1</v>
      </c>
    </row>
    <row r="140" spans="1:15" x14ac:dyDescent="0.25">
      <c r="A140" s="11">
        <v>138</v>
      </c>
      <c r="B140">
        <v>138</v>
      </c>
      <c r="C140">
        <v>1</v>
      </c>
      <c r="D140" t="s">
        <v>456</v>
      </c>
      <c r="E140">
        <v>4000</v>
      </c>
      <c r="F140">
        <v>380</v>
      </c>
      <c r="G140" s="7">
        <v>21</v>
      </c>
      <c r="I140" s="21">
        <f t="shared" si="15"/>
        <v>0.7</v>
      </c>
      <c r="J140">
        <v>0</v>
      </c>
      <c r="K140">
        <f t="shared" si="16"/>
        <v>2</v>
      </c>
      <c r="L140">
        <v>0</v>
      </c>
      <c r="M140">
        <f t="shared" ref="M140:M171" si="17">0.33*E140/2000</f>
        <v>0.66</v>
      </c>
      <c r="N140">
        <f>-M140</f>
        <v>-0.66</v>
      </c>
      <c r="O140">
        <v>1</v>
      </c>
    </row>
    <row r="141" spans="1:15" x14ac:dyDescent="0.25">
      <c r="A141" s="11">
        <v>139</v>
      </c>
      <c r="B141">
        <v>139</v>
      </c>
      <c r="C141">
        <v>1</v>
      </c>
      <c r="D141" t="s">
        <v>457</v>
      </c>
      <c r="E141">
        <v>80</v>
      </c>
      <c r="F141">
        <v>380</v>
      </c>
      <c r="G141" s="7">
        <v>51</v>
      </c>
      <c r="I141" s="21">
        <f t="shared" si="15"/>
        <v>1.3999999999999999E-2</v>
      </c>
      <c r="J141">
        <v>0</v>
      </c>
      <c r="K141">
        <f t="shared" si="16"/>
        <v>0.04</v>
      </c>
      <c r="L141">
        <v>0</v>
      </c>
      <c r="M141">
        <f t="shared" si="17"/>
        <v>1.3200000000000002E-2</v>
      </c>
      <c r="N141">
        <f>-M141</f>
        <v>-1.3200000000000002E-2</v>
      </c>
      <c r="O141">
        <v>1</v>
      </c>
    </row>
    <row r="142" spans="1:15" x14ac:dyDescent="0.25">
      <c r="A142" s="11">
        <v>140</v>
      </c>
      <c r="B142">
        <v>140</v>
      </c>
      <c r="C142">
        <v>1</v>
      </c>
      <c r="D142" t="s">
        <v>458</v>
      </c>
      <c r="E142">
        <v>60</v>
      </c>
      <c r="F142">
        <v>380</v>
      </c>
      <c r="G142" s="7">
        <v>25</v>
      </c>
      <c r="I142" s="21">
        <f t="shared" si="15"/>
        <v>1.0499999999999999E-2</v>
      </c>
      <c r="J142">
        <v>0</v>
      </c>
      <c r="K142">
        <f t="shared" si="16"/>
        <v>0.03</v>
      </c>
      <c r="L142">
        <v>0</v>
      </c>
      <c r="M142">
        <f t="shared" si="17"/>
        <v>9.9000000000000008E-3</v>
      </c>
      <c r="N142">
        <f>-M142</f>
        <v>-9.9000000000000008E-3</v>
      </c>
      <c r="O142">
        <v>1</v>
      </c>
    </row>
    <row r="143" spans="1:15" x14ac:dyDescent="0.25">
      <c r="A143" s="11">
        <v>141</v>
      </c>
      <c r="B143">
        <v>141</v>
      </c>
      <c r="C143">
        <v>1</v>
      </c>
      <c r="D143" t="s">
        <v>459</v>
      </c>
      <c r="E143">
        <v>50</v>
      </c>
      <c r="F143">
        <v>380</v>
      </c>
      <c r="G143" s="7">
        <v>47</v>
      </c>
      <c r="I143" s="21">
        <f t="shared" si="15"/>
        <v>8.7499999999999991E-3</v>
      </c>
      <c r="J143">
        <v>0</v>
      </c>
      <c r="K143">
        <f t="shared" si="16"/>
        <v>2.5000000000000001E-2</v>
      </c>
      <c r="L143">
        <v>0</v>
      </c>
      <c r="M143">
        <f t="shared" si="17"/>
        <v>8.2500000000000004E-3</v>
      </c>
      <c r="N143">
        <f t="shared" ref="N143:N171" si="18">-M143</f>
        <v>-8.2500000000000004E-3</v>
      </c>
      <c r="O143">
        <v>1</v>
      </c>
    </row>
    <row r="144" spans="1:15" x14ac:dyDescent="0.25">
      <c r="A144" s="11">
        <v>142</v>
      </c>
      <c r="B144">
        <v>142</v>
      </c>
      <c r="C144">
        <v>1</v>
      </c>
      <c r="D144" t="s">
        <v>460</v>
      </c>
      <c r="E144">
        <v>89</v>
      </c>
      <c r="F144">
        <v>380</v>
      </c>
      <c r="G144" s="7">
        <v>47</v>
      </c>
      <c r="I144" s="22">
        <f>0.1*K144</f>
        <v>4.45E-3</v>
      </c>
      <c r="J144">
        <v>0</v>
      </c>
      <c r="K144">
        <f t="shared" si="16"/>
        <v>4.4499999999999998E-2</v>
      </c>
      <c r="L144">
        <v>0</v>
      </c>
      <c r="M144">
        <f t="shared" si="17"/>
        <v>1.4685E-2</v>
      </c>
      <c r="N144">
        <f t="shared" si="18"/>
        <v>-1.4685E-2</v>
      </c>
      <c r="O144">
        <v>1</v>
      </c>
    </row>
    <row r="145" spans="1:17" x14ac:dyDescent="0.25">
      <c r="A145" s="11">
        <v>143</v>
      </c>
      <c r="B145">
        <v>143</v>
      </c>
      <c r="C145">
        <v>1</v>
      </c>
      <c r="D145" t="s">
        <v>461</v>
      </c>
      <c r="E145">
        <v>55</v>
      </c>
      <c r="F145">
        <v>380</v>
      </c>
      <c r="G145" s="7">
        <v>25</v>
      </c>
      <c r="I145" s="22">
        <f t="shared" ref="I145:I171" si="19">0.1*K145</f>
        <v>2.7500000000000003E-3</v>
      </c>
      <c r="J145">
        <v>0</v>
      </c>
      <c r="K145">
        <f t="shared" si="16"/>
        <v>2.75E-2</v>
      </c>
      <c r="L145">
        <v>0</v>
      </c>
      <c r="M145">
        <f t="shared" si="17"/>
        <v>9.0750000000000015E-3</v>
      </c>
      <c r="N145">
        <f t="shared" si="18"/>
        <v>-9.0750000000000015E-3</v>
      </c>
      <c r="O145">
        <v>1</v>
      </c>
    </row>
    <row r="146" spans="1:17" x14ac:dyDescent="0.25">
      <c r="A146" s="11">
        <v>144</v>
      </c>
      <c r="B146">
        <v>144</v>
      </c>
      <c r="C146">
        <v>1</v>
      </c>
      <c r="D146" t="s">
        <v>462</v>
      </c>
      <c r="E146">
        <v>148</v>
      </c>
      <c r="F146">
        <v>380</v>
      </c>
      <c r="G146" s="7">
        <v>25</v>
      </c>
      <c r="I146" s="22">
        <f t="shared" si="19"/>
        <v>7.4000000000000003E-3</v>
      </c>
      <c r="J146">
        <v>0</v>
      </c>
      <c r="K146">
        <f t="shared" si="16"/>
        <v>7.3999999999999996E-2</v>
      </c>
      <c r="L146">
        <v>0</v>
      </c>
      <c r="M146">
        <f t="shared" si="17"/>
        <v>2.4420000000000001E-2</v>
      </c>
      <c r="N146">
        <f t="shared" si="18"/>
        <v>-2.4420000000000001E-2</v>
      </c>
      <c r="O146">
        <v>1</v>
      </c>
    </row>
    <row r="147" spans="1:17" x14ac:dyDescent="0.25">
      <c r="A147" s="11">
        <v>145</v>
      </c>
      <c r="B147">
        <v>145</v>
      </c>
      <c r="C147">
        <v>1</v>
      </c>
      <c r="D147" t="s">
        <v>463</v>
      </c>
      <c r="E147">
        <v>50</v>
      </c>
      <c r="F147">
        <v>380</v>
      </c>
      <c r="G147" s="7">
        <v>46</v>
      </c>
      <c r="I147" s="22">
        <f t="shared" si="19"/>
        <v>2.5000000000000005E-3</v>
      </c>
      <c r="J147">
        <v>0</v>
      </c>
      <c r="K147">
        <f t="shared" si="16"/>
        <v>2.5000000000000001E-2</v>
      </c>
      <c r="L147">
        <v>0</v>
      </c>
      <c r="M147">
        <f t="shared" si="17"/>
        <v>8.2500000000000004E-3</v>
      </c>
      <c r="N147">
        <f t="shared" si="18"/>
        <v>-8.2500000000000004E-3</v>
      </c>
      <c r="O147">
        <v>1</v>
      </c>
    </row>
    <row r="148" spans="1:17" x14ac:dyDescent="0.25">
      <c r="A148" s="11">
        <v>146</v>
      </c>
      <c r="B148">
        <v>146</v>
      </c>
      <c r="C148">
        <v>1</v>
      </c>
      <c r="D148" t="s">
        <v>464</v>
      </c>
      <c r="E148">
        <v>80</v>
      </c>
      <c r="F148">
        <v>380</v>
      </c>
      <c r="G148" s="7">
        <v>16</v>
      </c>
      <c r="I148" s="22">
        <f t="shared" si="19"/>
        <v>4.0000000000000001E-3</v>
      </c>
      <c r="J148">
        <v>0</v>
      </c>
      <c r="K148">
        <f t="shared" si="16"/>
        <v>0.04</v>
      </c>
      <c r="L148">
        <v>0</v>
      </c>
      <c r="M148">
        <f t="shared" si="17"/>
        <v>1.3200000000000002E-2</v>
      </c>
      <c r="N148">
        <f t="shared" si="18"/>
        <v>-1.3200000000000002E-2</v>
      </c>
      <c r="O148">
        <v>1</v>
      </c>
    </row>
    <row r="149" spans="1:17" x14ac:dyDescent="0.25">
      <c r="A149" s="11">
        <v>147</v>
      </c>
      <c r="B149">
        <v>147</v>
      </c>
      <c r="C149">
        <v>1</v>
      </c>
      <c r="D149" t="s">
        <v>465</v>
      </c>
      <c r="E149">
        <v>61</v>
      </c>
      <c r="F149">
        <v>380</v>
      </c>
      <c r="G149" s="7">
        <v>45</v>
      </c>
      <c r="I149" s="22">
        <f t="shared" si="19"/>
        <v>3.0500000000000002E-3</v>
      </c>
      <c r="J149">
        <v>0</v>
      </c>
      <c r="K149">
        <f t="shared" si="16"/>
        <v>3.0499999999999999E-2</v>
      </c>
      <c r="L149">
        <v>0</v>
      </c>
      <c r="M149">
        <f t="shared" si="17"/>
        <v>1.0065000000000001E-2</v>
      </c>
      <c r="N149">
        <f t="shared" si="18"/>
        <v>-1.0065000000000001E-2</v>
      </c>
      <c r="O149">
        <v>1</v>
      </c>
    </row>
    <row r="150" spans="1:17" x14ac:dyDescent="0.25">
      <c r="A150" s="11">
        <v>148</v>
      </c>
      <c r="B150">
        <v>148</v>
      </c>
      <c r="C150">
        <v>1</v>
      </c>
      <c r="D150" t="s">
        <v>466</v>
      </c>
      <c r="E150">
        <v>74</v>
      </c>
      <c r="F150">
        <v>380</v>
      </c>
      <c r="G150" s="7">
        <v>23</v>
      </c>
      <c r="I150" s="22">
        <f>0.1*K150</f>
        <v>3.7000000000000002E-3</v>
      </c>
      <c r="J150">
        <v>0</v>
      </c>
      <c r="K150">
        <f t="shared" si="16"/>
        <v>3.6999999999999998E-2</v>
      </c>
      <c r="L150">
        <v>0</v>
      </c>
      <c r="M150">
        <f t="shared" si="17"/>
        <v>1.221E-2</v>
      </c>
      <c r="N150">
        <f t="shared" si="18"/>
        <v>-1.221E-2</v>
      </c>
      <c r="O150">
        <v>1</v>
      </c>
    </row>
    <row r="151" spans="1:17" x14ac:dyDescent="0.25">
      <c r="A151" s="11">
        <v>149</v>
      </c>
      <c r="B151">
        <v>149</v>
      </c>
      <c r="C151">
        <v>1</v>
      </c>
      <c r="D151" t="s">
        <v>467</v>
      </c>
      <c r="E151">
        <v>55</v>
      </c>
      <c r="F151">
        <v>380</v>
      </c>
      <c r="G151" s="7">
        <v>23</v>
      </c>
      <c r="I151" s="22">
        <f t="shared" si="19"/>
        <v>2.7500000000000003E-3</v>
      </c>
      <c r="J151">
        <v>0</v>
      </c>
      <c r="K151">
        <f t="shared" si="16"/>
        <v>2.75E-2</v>
      </c>
      <c r="L151">
        <v>0</v>
      </c>
      <c r="M151">
        <f t="shared" si="17"/>
        <v>9.0750000000000015E-3</v>
      </c>
      <c r="N151">
        <f t="shared" si="18"/>
        <v>-9.0750000000000015E-3</v>
      </c>
      <c r="O151">
        <v>1</v>
      </c>
    </row>
    <row r="152" spans="1:17" x14ac:dyDescent="0.25">
      <c r="A152" s="11">
        <v>150</v>
      </c>
      <c r="B152">
        <v>150</v>
      </c>
      <c r="C152">
        <v>1</v>
      </c>
      <c r="D152" t="s">
        <v>468</v>
      </c>
      <c r="E152">
        <v>55</v>
      </c>
      <c r="F152">
        <v>380</v>
      </c>
      <c r="G152" s="7">
        <v>20</v>
      </c>
      <c r="I152" s="22">
        <f t="shared" si="19"/>
        <v>2.7500000000000003E-3</v>
      </c>
      <c r="J152">
        <v>0</v>
      </c>
      <c r="K152">
        <f t="shared" si="16"/>
        <v>2.75E-2</v>
      </c>
      <c r="L152">
        <v>0</v>
      </c>
      <c r="M152">
        <f t="shared" si="17"/>
        <v>9.0750000000000015E-3</v>
      </c>
      <c r="N152">
        <f t="shared" si="18"/>
        <v>-9.0750000000000015E-3</v>
      </c>
      <c r="O152">
        <v>1</v>
      </c>
    </row>
    <row r="153" spans="1:17" x14ac:dyDescent="0.25">
      <c r="A153" s="11">
        <v>151</v>
      </c>
      <c r="B153">
        <v>151</v>
      </c>
      <c r="C153">
        <v>1</v>
      </c>
      <c r="D153" t="s">
        <v>469</v>
      </c>
      <c r="E153">
        <v>75</v>
      </c>
      <c r="F153">
        <v>380</v>
      </c>
      <c r="G153" s="7">
        <v>19</v>
      </c>
      <c r="I153" s="22">
        <f t="shared" si="19"/>
        <v>3.7499999999999999E-3</v>
      </c>
      <c r="J153">
        <v>0</v>
      </c>
      <c r="K153">
        <f t="shared" si="16"/>
        <v>3.7499999999999999E-2</v>
      </c>
      <c r="L153">
        <v>0</v>
      </c>
      <c r="M153">
        <f t="shared" si="17"/>
        <v>1.2375000000000001E-2</v>
      </c>
      <c r="N153">
        <f t="shared" si="18"/>
        <v>-1.2375000000000001E-2</v>
      </c>
      <c r="O153">
        <v>1</v>
      </c>
    </row>
    <row r="154" spans="1:17" x14ac:dyDescent="0.25">
      <c r="A154" s="11">
        <v>152</v>
      </c>
      <c r="B154">
        <v>152</v>
      </c>
      <c r="C154">
        <v>1</v>
      </c>
      <c r="D154" t="s">
        <v>470</v>
      </c>
      <c r="E154">
        <v>54</v>
      </c>
      <c r="F154">
        <v>380</v>
      </c>
      <c r="G154" s="7">
        <v>30</v>
      </c>
      <c r="I154" s="22">
        <f t="shared" si="19"/>
        <v>2.7000000000000001E-3</v>
      </c>
      <c r="J154">
        <v>0</v>
      </c>
      <c r="K154">
        <f t="shared" si="16"/>
        <v>2.7E-2</v>
      </c>
      <c r="L154">
        <v>0</v>
      </c>
      <c r="M154">
        <f t="shared" si="17"/>
        <v>8.9099999999999995E-3</v>
      </c>
      <c r="N154">
        <f t="shared" si="18"/>
        <v>-8.9099999999999995E-3</v>
      </c>
      <c r="O154">
        <v>1</v>
      </c>
    </row>
    <row r="155" spans="1:17" x14ac:dyDescent="0.25">
      <c r="A155" s="11">
        <v>153</v>
      </c>
      <c r="B155">
        <v>153</v>
      </c>
      <c r="C155">
        <v>1</v>
      </c>
      <c r="D155" t="s">
        <v>471</v>
      </c>
      <c r="E155">
        <v>65</v>
      </c>
      <c r="F155" s="13">
        <v>220</v>
      </c>
      <c r="G155" s="7">
        <v>9</v>
      </c>
      <c r="I155" s="22">
        <f t="shared" si="19"/>
        <v>3.2500000000000003E-3</v>
      </c>
      <c r="J155">
        <v>0</v>
      </c>
      <c r="K155">
        <f t="shared" si="16"/>
        <v>3.2500000000000001E-2</v>
      </c>
      <c r="L155">
        <v>0</v>
      </c>
      <c r="M155">
        <f t="shared" si="17"/>
        <v>1.0725E-2</v>
      </c>
      <c r="N155">
        <f t="shared" si="18"/>
        <v>-1.0725E-2</v>
      </c>
      <c r="O155" s="5">
        <v>0.57894736842105265</v>
      </c>
      <c r="P155" s="5">
        <v>0.81052631578947365</v>
      </c>
      <c r="Q155" s="5">
        <v>0.3473684210526316</v>
      </c>
    </row>
    <row r="156" spans="1:17" x14ac:dyDescent="0.25">
      <c r="A156" s="11">
        <v>154</v>
      </c>
      <c r="B156">
        <v>154</v>
      </c>
      <c r="C156">
        <v>1</v>
      </c>
      <c r="D156" t="s">
        <v>472</v>
      </c>
      <c r="E156">
        <v>62</v>
      </c>
      <c r="F156">
        <v>380</v>
      </c>
      <c r="G156" s="7">
        <v>50</v>
      </c>
      <c r="I156" s="22">
        <f t="shared" si="19"/>
        <v>3.1000000000000003E-3</v>
      </c>
      <c r="J156">
        <v>0</v>
      </c>
      <c r="K156">
        <f t="shared" si="16"/>
        <v>3.1E-2</v>
      </c>
      <c r="L156">
        <v>0</v>
      </c>
      <c r="M156">
        <f t="shared" si="17"/>
        <v>1.0230000000000001E-2</v>
      </c>
      <c r="N156">
        <f t="shared" si="18"/>
        <v>-1.0230000000000001E-2</v>
      </c>
      <c r="O156">
        <v>1</v>
      </c>
    </row>
    <row r="157" spans="1:17" x14ac:dyDescent="0.25">
      <c r="A157" s="11">
        <v>155</v>
      </c>
      <c r="B157">
        <v>155</v>
      </c>
      <c r="C157">
        <v>1</v>
      </c>
      <c r="D157" t="s">
        <v>473</v>
      </c>
      <c r="E157">
        <v>94</v>
      </c>
      <c r="F157">
        <v>380</v>
      </c>
      <c r="G157" s="7">
        <v>27</v>
      </c>
      <c r="I157" s="22">
        <f t="shared" si="19"/>
        <v>4.7000000000000002E-3</v>
      </c>
      <c r="J157">
        <v>0</v>
      </c>
      <c r="K157">
        <f t="shared" si="16"/>
        <v>4.7E-2</v>
      </c>
      <c r="L157">
        <v>0</v>
      </c>
      <c r="M157">
        <f t="shared" si="17"/>
        <v>1.5510000000000001E-2</v>
      </c>
      <c r="N157">
        <f t="shared" si="18"/>
        <v>-1.5510000000000001E-2</v>
      </c>
      <c r="O157">
        <v>1</v>
      </c>
    </row>
    <row r="158" spans="1:17" x14ac:dyDescent="0.25">
      <c r="A158" s="11">
        <v>156</v>
      </c>
      <c r="B158">
        <v>156</v>
      </c>
      <c r="C158">
        <v>1</v>
      </c>
      <c r="D158" t="s">
        <v>474</v>
      </c>
      <c r="E158">
        <v>96</v>
      </c>
      <c r="F158">
        <v>380</v>
      </c>
      <c r="G158" s="7">
        <v>20</v>
      </c>
      <c r="I158" s="22">
        <f t="shared" si="19"/>
        <v>4.8000000000000004E-3</v>
      </c>
      <c r="J158">
        <v>0</v>
      </c>
      <c r="K158">
        <f t="shared" si="16"/>
        <v>4.8000000000000001E-2</v>
      </c>
      <c r="L158">
        <v>0</v>
      </c>
      <c r="M158">
        <f t="shared" si="17"/>
        <v>1.584E-2</v>
      </c>
      <c r="N158">
        <f t="shared" si="18"/>
        <v>-1.584E-2</v>
      </c>
      <c r="O158">
        <v>1</v>
      </c>
    </row>
    <row r="159" spans="1:17" x14ac:dyDescent="0.25">
      <c r="A159" s="11">
        <v>157</v>
      </c>
      <c r="B159">
        <v>157</v>
      </c>
      <c r="C159">
        <v>1</v>
      </c>
      <c r="D159" t="s">
        <v>475</v>
      </c>
      <c r="E159">
        <v>86</v>
      </c>
      <c r="F159">
        <v>380</v>
      </c>
      <c r="G159" s="7">
        <v>27</v>
      </c>
      <c r="I159" s="22">
        <f t="shared" si="19"/>
        <v>4.3E-3</v>
      </c>
      <c r="J159">
        <v>0</v>
      </c>
      <c r="K159">
        <f t="shared" si="16"/>
        <v>4.2999999999999997E-2</v>
      </c>
      <c r="L159">
        <v>0</v>
      </c>
      <c r="M159">
        <f t="shared" si="17"/>
        <v>1.4190000000000001E-2</v>
      </c>
      <c r="N159">
        <f t="shared" si="18"/>
        <v>-1.4190000000000001E-2</v>
      </c>
      <c r="O159">
        <v>1</v>
      </c>
    </row>
    <row r="160" spans="1:17" x14ac:dyDescent="0.25">
      <c r="A160" s="11">
        <v>158</v>
      </c>
      <c r="B160">
        <v>158</v>
      </c>
      <c r="C160">
        <v>1</v>
      </c>
      <c r="D160" t="s">
        <v>428</v>
      </c>
      <c r="E160">
        <v>132</v>
      </c>
      <c r="F160">
        <v>380</v>
      </c>
      <c r="G160" s="7">
        <v>47</v>
      </c>
      <c r="I160" s="22">
        <f t="shared" si="19"/>
        <v>6.6000000000000008E-3</v>
      </c>
      <c r="J160">
        <v>0</v>
      </c>
      <c r="K160">
        <f t="shared" si="16"/>
        <v>6.6000000000000003E-2</v>
      </c>
      <c r="L160">
        <v>0</v>
      </c>
      <c r="M160">
        <f t="shared" si="17"/>
        <v>2.1780000000000001E-2</v>
      </c>
      <c r="N160">
        <f t="shared" si="18"/>
        <v>-2.1780000000000001E-2</v>
      </c>
      <c r="O160">
        <v>1</v>
      </c>
    </row>
    <row r="161" spans="1:17" x14ac:dyDescent="0.25">
      <c r="A161" s="11">
        <v>159</v>
      </c>
      <c r="B161">
        <v>159</v>
      </c>
      <c r="C161">
        <v>1</v>
      </c>
      <c r="D161" t="s">
        <v>476</v>
      </c>
      <c r="E161">
        <v>65</v>
      </c>
      <c r="F161">
        <v>380</v>
      </c>
      <c r="G161" s="7">
        <v>48</v>
      </c>
      <c r="I161" s="22">
        <f t="shared" si="19"/>
        <v>3.2500000000000003E-3</v>
      </c>
      <c r="J161">
        <v>0</v>
      </c>
      <c r="K161">
        <f t="shared" si="16"/>
        <v>3.2500000000000001E-2</v>
      </c>
      <c r="L161">
        <v>0</v>
      </c>
      <c r="M161">
        <f t="shared" si="17"/>
        <v>1.0725E-2</v>
      </c>
      <c r="N161">
        <f t="shared" si="18"/>
        <v>-1.0725E-2</v>
      </c>
      <c r="O161">
        <v>1</v>
      </c>
    </row>
    <row r="162" spans="1:17" x14ac:dyDescent="0.25">
      <c r="A162" s="11">
        <v>160</v>
      </c>
      <c r="B162">
        <v>160</v>
      </c>
      <c r="C162">
        <v>1</v>
      </c>
      <c r="D162" t="s">
        <v>477</v>
      </c>
      <c r="E162">
        <v>116</v>
      </c>
      <c r="F162">
        <v>380</v>
      </c>
      <c r="G162" s="7">
        <v>27</v>
      </c>
      <c r="I162" s="22">
        <f t="shared" si="19"/>
        <v>5.8000000000000005E-3</v>
      </c>
      <c r="J162">
        <v>0</v>
      </c>
      <c r="K162">
        <f t="shared" si="16"/>
        <v>5.8000000000000003E-2</v>
      </c>
      <c r="L162">
        <v>0</v>
      </c>
      <c r="M162">
        <f t="shared" si="17"/>
        <v>1.9140000000000001E-2</v>
      </c>
      <c r="N162">
        <f t="shared" si="18"/>
        <v>-1.9140000000000001E-2</v>
      </c>
      <c r="O162">
        <v>1</v>
      </c>
    </row>
    <row r="163" spans="1:17" x14ac:dyDescent="0.25">
      <c r="A163" s="11">
        <v>161</v>
      </c>
      <c r="B163">
        <v>161</v>
      </c>
      <c r="C163">
        <v>1</v>
      </c>
      <c r="D163" t="s">
        <v>478</v>
      </c>
      <c r="E163">
        <v>63</v>
      </c>
      <c r="F163" s="13">
        <v>220</v>
      </c>
      <c r="G163" s="7">
        <v>9</v>
      </c>
      <c r="I163" s="22">
        <f t="shared" si="19"/>
        <v>3.15E-3</v>
      </c>
      <c r="J163">
        <v>0</v>
      </c>
      <c r="K163">
        <f t="shared" si="16"/>
        <v>3.15E-2</v>
      </c>
      <c r="L163">
        <v>0</v>
      </c>
      <c r="M163">
        <f t="shared" si="17"/>
        <v>1.0395000000000001E-2</v>
      </c>
      <c r="N163">
        <f t="shared" si="18"/>
        <v>-1.0395000000000001E-2</v>
      </c>
      <c r="O163" s="5">
        <v>0.57894736842105265</v>
      </c>
      <c r="P163" s="5">
        <v>0.81052631578947365</v>
      </c>
      <c r="Q163" s="5">
        <v>0.3473684210526316</v>
      </c>
    </row>
    <row r="164" spans="1:17" x14ac:dyDescent="0.25">
      <c r="A164" s="11">
        <v>162</v>
      </c>
      <c r="B164">
        <v>162</v>
      </c>
      <c r="C164">
        <v>1</v>
      </c>
      <c r="D164" t="s">
        <v>479</v>
      </c>
      <c r="E164">
        <v>58</v>
      </c>
      <c r="F164">
        <v>380</v>
      </c>
      <c r="G164" s="7">
        <v>48</v>
      </c>
      <c r="I164" s="22">
        <f t="shared" si="19"/>
        <v>2.9000000000000002E-3</v>
      </c>
      <c r="J164">
        <v>0</v>
      </c>
      <c r="K164">
        <f t="shared" si="16"/>
        <v>2.9000000000000001E-2</v>
      </c>
      <c r="L164">
        <v>0</v>
      </c>
      <c r="M164">
        <f t="shared" si="17"/>
        <v>9.5700000000000004E-3</v>
      </c>
      <c r="N164">
        <f t="shared" si="18"/>
        <v>-9.5700000000000004E-3</v>
      </c>
      <c r="O164">
        <v>1</v>
      </c>
    </row>
    <row r="165" spans="1:17" x14ac:dyDescent="0.25">
      <c r="A165" s="11">
        <v>163</v>
      </c>
      <c r="B165">
        <v>163</v>
      </c>
      <c r="C165">
        <v>1</v>
      </c>
      <c r="D165" t="s">
        <v>480</v>
      </c>
      <c r="E165">
        <v>115</v>
      </c>
      <c r="F165">
        <v>380</v>
      </c>
      <c r="G165" s="7">
        <v>20</v>
      </c>
      <c r="I165" s="22">
        <f t="shared" si="19"/>
        <v>5.7500000000000008E-3</v>
      </c>
      <c r="J165">
        <v>0</v>
      </c>
      <c r="K165">
        <f t="shared" si="16"/>
        <v>5.7500000000000002E-2</v>
      </c>
      <c r="L165">
        <v>0</v>
      </c>
      <c r="M165">
        <f t="shared" si="17"/>
        <v>1.8975000000000002E-2</v>
      </c>
      <c r="N165">
        <f t="shared" si="18"/>
        <v>-1.8975000000000002E-2</v>
      </c>
      <c r="O165">
        <v>1</v>
      </c>
    </row>
    <row r="166" spans="1:17" x14ac:dyDescent="0.25">
      <c r="A166" s="11">
        <v>164</v>
      </c>
      <c r="B166">
        <v>164</v>
      </c>
      <c r="C166">
        <v>1</v>
      </c>
      <c r="D166" t="s">
        <v>481</v>
      </c>
      <c r="E166">
        <v>108</v>
      </c>
      <c r="F166" s="13">
        <v>220</v>
      </c>
      <c r="G166" s="7">
        <v>5</v>
      </c>
      <c r="I166" s="22">
        <f t="shared" si="19"/>
        <v>5.4000000000000003E-3</v>
      </c>
      <c r="J166">
        <v>0</v>
      </c>
      <c r="K166">
        <f t="shared" si="16"/>
        <v>5.3999999999999999E-2</v>
      </c>
      <c r="L166">
        <v>0</v>
      </c>
      <c r="M166">
        <f t="shared" si="17"/>
        <v>1.7819999999999999E-2</v>
      </c>
      <c r="N166">
        <f t="shared" si="18"/>
        <v>-1.7819999999999999E-2</v>
      </c>
      <c r="O166" s="5">
        <v>0.57894736842105265</v>
      </c>
      <c r="P166" s="5">
        <v>0.81052631578947365</v>
      </c>
      <c r="Q166" s="5">
        <v>0.3473684210526316</v>
      </c>
    </row>
    <row r="167" spans="1:17" x14ac:dyDescent="0.25">
      <c r="A167" s="11">
        <v>165</v>
      </c>
      <c r="B167">
        <v>165</v>
      </c>
      <c r="C167">
        <v>1</v>
      </c>
      <c r="D167" t="s">
        <v>482</v>
      </c>
      <c r="E167">
        <v>53</v>
      </c>
      <c r="F167" s="13">
        <v>220</v>
      </c>
      <c r="G167" s="7">
        <v>3</v>
      </c>
      <c r="I167" s="22">
        <f t="shared" si="19"/>
        <v>2.65E-3</v>
      </c>
      <c r="J167">
        <v>0</v>
      </c>
      <c r="K167">
        <f t="shared" si="16"/>
        <v>2.6499999999999999E-2</v>
      </c>
      <c r="L167">
        <v>0</v>
      </c>
      <c r="M167">
        <f t="shared" si="17"/>
        <v>8.745000000000001E-3</v>
      </c>
      <c r="N167">
        <f t="shared" si="18"/>
        <v>-8.745000000000001E-3</v>
      </c>
      <c r="O167" s="5">
        <v>0.57894736842105265</v>
      </c>
      <c r="P167" s="5">
        <v>0.81052631578947365</v>
      </c>
      <c r="Q167" s="5">
        <v>0.3473684210526316</v>
      </c>
    </row>
    <row r="168" spans="1:17" x14ac:dyDescent="0.25">
      <c r="A168" s="11">
        <v>166</v>
      </c>
      <c r="B168">
        <v>166</v>
      </c>
      <c r="C168">
        <v>1</v>
      </c>
      <c r="D168" t="s">
        <v>483</v>
      </c>
      <c r="E168">
        <v>58</v>
      </c>
      <c r="F168">
        <v>380</v>
      </c>
      <c r="G168" s="7">
        <v>19</v>
      </c>
      <c r="I168" s="22">
        <f t="shared" si="19"/>
        <v>2.9000000000000002E-3</v>
      </c>
      <c r="J168">
        <v>0</v>
      </c>
      <c r="K168">
        <f t="shared" si="16"/>
        <v>2.9000000000000001E-2</v>
      </c>
      <c r="L168">
        <v>0</v>
      </c>
      <c r="M168">
        <f t="shared" si="17"/>
        <v>9.5700000000000004E-3</v>
      </c>
      <c r="N168">
        <f t="shared" si="18"/>
        <v>-9.5700000000000004E-3</v>
      </c>
      <c r="O168">
        <v>1</v>
      </c>
    </row>
    <row r="169" spans="1:17" x14ac:dyDescent="0.25">
      <c r="A169" s="11">
        <v>167</v>
      </c>
      <c r="B169">
        <v>167</v>
      </c>
      <c r="C169">
        <v>1</v>
      </c>
      <c r="D169" t="s">
        <v>484</v>
      </c>
      <c r="E169">
        <v>62</v>
      </c>
      <c r="F169">
        <v>380</v>
      </c>
      <c r="G169" s="7">
        <v>31</v>
      </c>
      <c r="I169" s="22">
        <f t="shared" si="19"/>
        <v>3.1000000000000003E-3</v>
      </c>
      <c r="J169">
        <v>0</v>
      </c>
      <c r="K169">
        <f t="shared" si="16"/>
        <v>3.1E-2</v>
      </c>
      <c r="L169">
        <v>0</v>
      </c>
      <c r="M169">
        <f t="shared" si="17"/>
        <v>1.0230000000000001E-2</v>
      </c>
      <c r="N169">
        <f t="shared" si="18"/>
        <v>-1.0230000000000001E-2</v>
      </c>
      <c r="O169">
        <v>1</v>
      </c>
    </row>
    <row r="170" spans="1:17" x14ac:dyDescent="0.25">
      <c r="A170" s="11">
        <v>168</v>
      </c>
      <c r="B170">
        <v>168</v>
      </c>
      <c r="C170">
        <v>1</v>
      </c>
      <c r="D170" t="s">
        <v>485</v>
      </c>
      <c r="E170">
        <v>136</v>
      </c>
      <c r="F170">
        <v>380</v>
      </c>
      <c r="G170" s="7">
        <v>31</v>
      </c>
      <c r="I170" s="22">
        <f t="shared" si="19"/>
        <v>6.8000000000000005E-3</v>
      </c>
      <c r="J170">
        <v>0</v>
      </c>
      <c r="K170">
        <f t="shared" si="16"/>
        <v>6.8000000000000005E-2</v>
      </c>
      <c r="L170">
        <v>0</v>
      </c>
      <c r="M170">
        <f t="shared" si="17"/>
        <v>2.2440000000000002E-2</v>
      </c>
      <c r="N170">
        <f t="shared" si="18"/>
        <v>-2.2440000000000002E-2</v>
      </c>
      <c r="O170">
        <v>1</v>
      </c>
    </row>
    <row r="171" spans="1:17" x14ac:dyDescent="0.25">
      <c r="A171" s="11">
        <v>169</v>
      </c>
      <c r="B171" s="10">
        <v>169</v>
      </c>
      <c r="C171" s="10">
        <v>1</v>
      </c>
      <c r="D171" s="10" t="s">
        <v>486</v>
      </c>
      <c r="E171" s="10">
        <v>59</v>
      </c>
      <c r="F171" s="13">
        <v>220</v>
      </c>
      <c r="G171" s="7">
        <v>8</v>
      </c>
      <c r="H171" s="10"/>
      <c r="I171" s="22">
        <f t="shared" si="19"/>
        <v>2.9499999999999999E-3</v>
      </c>
      <c r="J171" s="10">
        <v>0</v>
      </c>
      <c r="K171">
        <f t="shared" si="16"/>
        <v>2.9499999999999998E-2</v>
      </c>
      <c r="L171" s="10">
        <v>0</v>
      </c>
      <c r="M171">
        <f t="shared" si="17"/>
        <v>9.7350000000000006E-3</v>
      </c>
      <c r="N171">
        <f t="shared" si="18"/>
        <v>-9.7350000000000006E-3</v>
      </c>
      <c r="O171" s="5">
        <v>0.57894736842105265</v>
      </c>
      <c r="P171" s="5">
        <v>0.81052631578947365</v>
      </c>
      <c r="Q171" s="5">
        <v>0.3473684210526316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E2" sqref="E2:I2"/>
    </sheetView>
  </sheetViews>
  <sheetFormatPr defaultColWidth="8.85546875" defaultRowHeight="15" x14ac:dyDescent="0.25"/>
  <cols>
    <col min="4" max="4" width="34.28515625" bestFit="1" customWidth="1"/>
  </cols>
  <sheetData>
    <row r="1" spans="1:20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  <c r="T1" s="3" t="s">
        <v>7</v>
      </c>
    </row>
    <row r="2" spans="1:20" x14ac:dyDescent="0.25">
      <c r="A2" s="1">
        <v>170</v>
      </c>
      <c r="B2">
        <v>170</v>
      </c>
      <c r="C2">
        <v>1</v>
      </c>
      <c r="D2" t="s">
        <v>262</v>
      </c>
      <c r="E2">
        <v>2340</v>
      </c>
      <c r="F2">
        <v>380</v>
      </c>
      <c r="G2">
        <v>40</v>
      </c>
      <c r="I2" s="23">
        <v>0.24</v>
      </c>
      <c r="J2">
        <v>0</v>
      </c>
      <c r="K2">
        <f>1.972/2</f>
        <v>0.98599999999999999</v>
      </c>
      <c r="L2">
        <f>-K2</f>
        <v>-0.98599999999999999</v>
      </c>
      <c r="M2">
        <f>5/2</f>
        <v>2.5</v>
      </c>
      <c r="N2">
        <f>-M2</f>
        <v>-2.5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26"/>
  <sheetViews>
    <sheetView zoomScale="87" workbookViewId="0">
      <pane ySplit="1" topLeftCell="A106" activePane="bottomLeft" state="frozen"/>
      <selection pane="bottomLeft" activeCell="B43" sqref="B43:U44"/>
    </sheetView>
  </sheetViews>
  <sheetFormatPr defaultColWidth="8.85546875" defaultRowHeight="15" x14ac:dyDescent="0.25"/>
  <cols>
    <col min="1" max="1" width="9.140625" bestFit="1" customWidth="1"/>
    <col min="3" max="3" width="9.140625" bestFit="1" customWidth="1"/>
    <col min="4" max="4" width="28.5703125" bestFit="1" customWidth="1"/>
    <col min="5" max="10" width="9.28515625" bestFit="1" customWidth="1"/>
    <col min="11" max="13" width="16.28515625" bestFit="1" customWidth="1"/>
    <col min="14" max="21" width="9.28515625" bestFit="1" customWidth="1"/>
    <col min="25" max="27" width="15.42578125" bestFit="1" customWidth="1"/>
    <col min="28" max="28" width="10.42578125" bestFit="1" customWidth="1"/>
    <col min="29" max="29" width="14.5703125" bestFit="1" customWidth="1"/>
    <col min="30" max="30" width="14.85546875" bestFit="1" customWidth="1"/>
  </cols>
  <sheetData>
    <row r="1" spans="1:30" x14ac:dyDescent="0.25">
      <c r="A1" s="1" t="s">
        <v>13</v>
      </c>
      <c r="B1" s="1" t="s">
        <v>0</v>
      </c>
      <c r="C1" s="1" t="s">
        <v>1</v>
      </c>
      <c r="D1" s="2" t="s">
        <v>2</v>
      </c>
      <c r="E1" s="2" t="s">
        <v>25</v>
      </c>
      <c r="F1" s="2" t="s">
        <v>26</v>
      </c>
      <c r="G1" s="4" t="s">
        <v>17</v>
      </c>
      <c r="H1" s="2" t="s">
        <v>27</v>
      </c>
      <c r="I1" s="2" t="s">
        <v>28</v>
      </c>
      <c r="J1" s="2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2" t="s">
        <v>38</v>
      </c>
      <c r="T1" s="2" t="s">
        <v>39</v>
      </c>
      <c r="U1" s="2" t="s">
        <v>40</v>
      </c>
      <c r="V1" s="1" t="s">
        <v>12</v>
      </c>
      <c r="W1" s="1" t="s">
        <v>8</v>
      </c>
      <c r="X1" s="1" t="s">
        <v>9</v>
      </c>
      <c r="Y1" s="1"/>
      <c r="Z1" s="1"/>
      <c r="AA1" s="1"/>
      <c r="AB1" s="1"/>
      <c r="AC1" s="1"/>
      <c r="AD1" s="1"/>
    </row>
    <row r="2" spans="1:30" x14ac:dyDescent="0.25">
      <c r="A2" s="1">
        <v>0</v>
      </c>
      <c r="B2" t="s">
        <v>41</v>
      </c>
      <c r="C2">
        <v>1</v>
      </c>
      <c r="D2" t="s">
        <v>178</v>
      </c>
      <c r="E2">
        <v>0</v>
      </c>
      <c r="F2">
        <v>6</v>
      </c>
      <c r="G2">
        <v>1000</v>
      </c>
      <c r="H2">
        <v>50</v>
      </c>
      <c r="I2">
        <v>220</v>
      </c>
      <c r="J2">
        <v>220</v>
      </c>
      <c r="K2">
        <v>4.132231404958678E-5</v>
      </c>
      <c r="L2">
        <v>5.785123966942148E-4</v>
      </c>
      <c r="M2">
        <v>6.0821233773498392E-6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30" x14ac:dyDescent="0.25">
      <c r="A3" s="1">
        <v>1</v>
      </c>
      <c r="B3" t="s">
        <v>42</v>
      </c>
      <c r="C3">
        <v>1</v>
      </c>
      <c r="D3" t="s">
        <v>179</v>
      </c>
      <c r="E3">
        <v>0</v>
      </c>
      <c r="F3">
        <v>6</v>
      </c>
      <c r="G3">
        <v>1000</v>
      </c>
      <c r="H3">
        <v>50</v>
      </c>
      <c r="I3">
        <v>220</v>
      </c>
      <c r="J3">
        <v>220</v>
      </c>
      <c r="K3">
        <v>4.132231404958678E-5</v>
      </c>
      <c r="L3">
        <v>5.785123966942148E-4</v>
      </c>
      <c r="M3">
        <v>6.0821233773498392E-6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30" x14ac:dyDescent="0.25">
      <c r="A4" s="1">
        <v>2</v>
      </c>
      <c r="B4" t="s">
        <v>43</v>
      </c>
      <c r="C4">
        <v>1</v>
      </c>
      <c r="D4" t="s">
        <v>180</v>
      </c>
      <c r="E4">
        <v>2</v>
      </c>
      <c r="F4">
        <v>1</v>
      </c>
      <c r="G4">
        <v>1000</v>
      </c>
      <c r="H4">
        <v>50</v>
      </c>
      <c r="I4">
        <v>220</v>
      </c>
      <c r="J4">
        <v>220</v>
      </c>
      <c r="K4">
        <v>1.5475206611570251E-2</v>
      </c>
      <c r="L4">
        <v>0.17068181818181816</v>
      </c>
      <c r="M4">
        <v>4.7744668512196241E-3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30" x14ac:dyDescent="0.25">
      <c r="A5" s="1">
        <v>3</v>
      </c>
      <c r="B5" t="s">
        <v>44</v>
      </c>
      <c r="C5">
        <v>1</v>
      </c>
      <c r="D5" t="s">
        <v>181</v>
      </c>
      <c r="E5">
        <v>2</v>
      </c>
      <c r="F5">
        <v>1</v>
      </c>
      <c r="G5">
        <v>1000</v>
      </c>
      <c r="H5">
        <v>50</v>
      </c>
      <c r="I5">
        <v>220</v>
      </c>
      <c r="J5">
        <v>220</v>
      </c>
      <c r="K5">
        <v>1.5475206611570251E-2</v>
      </c>
      <c r="L5">
        <v>0.17068181818181816</v>
      </c>
      <c r="M5">
        <v>4.7744668512196241E-3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30" x14ac:dyDescent="0.25">
      <c r="A6" s="1">
        <v>4</v>
      </c>
      <c r="B6" t="s">
        <v>45</v>
      </c>
      <c r="C6">
        <v>1</v>
      </c>
      <c r="D6" t="s">
        <v>182</v>
      </c>
      <c r="E6">
        <v>3</v>
      </c>
      <c r="F6">
        <v>7</v>
      </c>
      <c r="G6">
        <v>1000</v>
      </c>
      <c r="H6">
        <v>50</v>
      </c>
      <c r="I6">
        <v>220</v>
      </c>
      <c r="J6">
        <v>220</v>
      </c>
      <c r="K6">
        <v>2.135541016222834E-2</v>
      </c>
      <c r="L6">
        <v>0.23515687174778088</v>
      </c>
      <c r="M6">
        <v>6.5534879390944517E-3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30" x14ac:dyDescent="0.25">
      <c r="A7" s="1">
        <v>5</v>
      </c>
      <c r="B7" t="s">
        <v>46</v>
      </c>
      <c r="C7">
        <v>1</v>
      </c>
      <c r="D7" t="s">
        <v>183</v>
      </c>
      <c r="E7">
        <v>3</v>
      </c>
      <c r="F7">
        <v>7</v>
      </c>
      <c r="G7">
        <v>1000</v>
      </c>
      <c r="H7">
        <v>50</v>
      </c>
      <c r="I7">
        <v>220</v>
      </c>
      <c r="J7">
        <v>220</v>
      </c>
      <c r="K7">
        <v>2.135541016222834E-2</v>
      </c>
      <c r="L7">
        <v>0.23515687174778088</v>
      </c>
      <c r="M7">
        <v>6.5534879390944517E-3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30" x14ac:dyDescent="0.25">
      <c r="A8" s="1">
        <v>6</v>
      </c>
      <c r="B8" t="s">
        <v>47</v>
      </c>
      <c r="C8">
        <v>1</v>
      </c>
      <c r="D8" t="s">
        <v>184</v>
      </c>
      <c r="E8">
        <v>3</v>
      </c>
      <c r="F8">
        <v>5</v>
      </c>
      <c r="G8">
        <v>1000</v>
      </c>
      <c r="H8">
        <v>50</v>
      </c>
      <c r="I8">
        <v>220</v>
      </c>
      <c r="J8">
        <v>220</v>
      </c>
      <c r="K8">
        <v>1.4070247933884296E-2</v>
      </c>
      <c r="L8">
        <v>0.15473140495867765</v>
      </c>
      <c r="M8">
        <v>4.3335129063617611E-3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30" x14ac:dyDescent="0.25">
      <c r="A9" s="1">
        <v>7</v>
      </c>
      <c r="B9" t="s">
        <v>48</v>
      </c>
      <c r="C9">
        <v>1</v>
      </c>
      <c r="D9" t="s">
        <v>185</v>
      </c>
      <c r="E9">
        <v>3</v>
      </c>
      <c r="F9">
        <v>5</v>
      </c>
      <c r="G9">
        <v>1000</v>
      </c>
      <c r="H9">
        <v>50</v>
      </c>
      <c r="I9">
        <v>220</v>
      </c>
      <c r="J9">
        <v>220</v>
      </c>
      <c r="K9">
        <v>1.4070247933884296E-2</v>
      </c>
      <c r="L9">
        <v>0.15473140495867765</v>
      </c>
      <c r="M9">
        <v>4.3335129063617611E-3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30" x14ac:dyDescent="0.25">
      <c r="A10" s="1">
        <v>8</v>
      </c>
      <c r="B10" t="s">
        <v>49</v>
      </c>
      <c r="C10">
        <v>1</v>
      </c>
      <c r="D10" t="s">
        <v>186</v>
      </c>
      <c r="E10">
        <v>5</v>
      </c>
      <c r="F10">
        <v>1</v>
      </c>
      <c r="G10">
        <v>1000</v>
      </c>
      <c r="H10">
        <v>50</v>
      </c>
      <c r="I10">
        <v>220</v>
      </c>
      <c r="J10">
        <v>220</v>
      </c>
      <c r="K10">
        <v>2.1632231404958679E-2</v>
      </c>
      <c r="L10">
        <v>0.23791322314049593</v>
      </c>
      <c r="M10">
        <v>6.6599250981980761E-3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30" x14ac:dyDescent="0.25">
      <c r="A11" s="1">
        <v>9</v>
      </c>
      <c r="B11" t="s">
        <v>50</v>
      </c>
      <c r="C11">
        <v>1</v>
      </c>
      <c r="D11" t="s">
        <v>187</v>
      </c>
      <c r="E11">
        <v>5</v>
      </c>
      <c r="F11">
        <v>1</v>
      </c>
      <c r="G11">
        <v>1000</v>
      </c>
      <c r="H11">
        <v>50</v>
      </c>
      <c r="I11">
        <v>220</v>
      </c>
      <c r="J11">
        <v>220</v>
      </c>
      <c r="K11">
        <v>2.1632231404958679E-2</v>
      </c>
      <c r="L11">
        <v>0.23791322314049593</v>
      </c>
      <c r="M11">
        <v>6.6599250981980761E-3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30" x14ac:dyDescent="0.25">
      <c r="A12" s="1">
        <v>10</v>
      </c>
      <c r="B12" t="s">
        <v>51</v>
      </c>
      <c r="C12">
        <v>1</v>
      </c>
      <c r="D12" t="s">
        <v>188</v>
      </c>
      <c r="E12">
        <v>6</v>
      </c>
      <c r="F12">
        <v>8</v>
      </c>
      <c r="G12">
        <v>1000</v>
      </c>
      <c r="H12">
        <v>50</v>
      </c>
      <c r="I12">
        <v>220</v>
      </c>
      <c r="J12">
        <v>220</v>
      </c>
      <c r="K12">
        <v>9.0289256198347115E-3</v>
      </c>
      <c r="L12">
        <v>0.13082644628099174</v>
      </c>
      <c r="M12">
        <v>3.8925589615038973E-3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30" x14ac:dyDescent="0.25">
      <c r="A13" s="1">
        <v>11</v>
      </c>
      <c r="B13" t="s">
        <v>52</v>
      </c>
      <c r="C13">
        <v>1</v>
      </c>
      <c r="D13" t="s">
        <v>189</v>
      </c>
      <c r="E13">
        <v>6</v>
      </c>
      <c r="F13">
        <v>8</v>
      </c>
      <c r="G13">
        <v>1000</v>
      </c>
      <c r="H13">
        <v>50</v>
      </c>
      <c r="I13">
        <v>220</v>
      </c>
      <c r="J13">
        <v>220</v>
      </c>
      <c r="K13">
        <v>9.0289256198347115E-3</v>
      </c>
      <c r="L13">
        <v>0.13082644628099174</v>
      </c>
      <c r="M13">
        <v>3.8925589615038973E-3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30" x14ac:dyDescent="0.25">
      <c r="A14" s="1">
        <v>12</v>
      </c>
      <c r="B14" t="s">
        <v>53</v>
      </c>
      <c r="C14">
        <v>1</v>
      </c>
      <c r="D14" t="s">
        <v>190</v>
      </c>
      <c r="E14">
        <v>7</v>
      </c>
      <c r="F14">
        <v>9</v>
      </c>
      <c r="G14">
        <v>1000</v>
      </c>
      <c r="H14">
        <v>50</v>
      </c>
      <c r="I14">
        <v>220</v>
      </c>
      <c r="J14">
        <v>220</v>
      </c>
      <c r="K14">
        <v>8.2644628099173556E-3</v>
      </c>
      <c r="L14">
        <v>0.1440082644628099</v>
      </c>
      <c r="M14">
        <v>3.4516050166460339E-3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30" x14ac:dyDescent="0.25">
      <c r="A15" s="1">
        <v>13</v>
      </c>
      <c r="B15" t="s">
        <v>54</v>
      </c>
      <c r="C15">
        <v>1</v>
      </c>
      <c r="D15" t="s">
        <v>191</v>
      </c>
      <c r="E15">
        <v>7</v>
      </c>
      <c r="F15">
        <v>9</v>
      </c>
      <c r="G15">
        <v>1000</v>
      </c>
      <c r="H15">
        <v>50</v>
      </c>
      <c r="I15">
        <v>220</v>
      </c>
      <c r="J15">
        <v>220</v>
      </c>
      <c r="K15">
        <v>8.2644628099173556E-3</v>
      </c>
      <c r="L15">
        <v>0.1440082644628099</v>
      </c>
      <c r="M15">
        <v>3.4516050166460339E-3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30" x14ac:dyDescent="0.25">
      <c r="A16" s="1">
        <v>14</v>
      </c>
      <c r="B16" t="s">
        <v>55</v>
      </c>
      <c r="C16">
        <v>1</v>
      </c>
      <c r="D16" t="s">
        <v>192</v>
      </c>
      <c r="E16">
        <v>8</v>
      </c>
      <c r="F16">
        <v>4</v>
      </c>
      <c r="G16">
        <v>1000</v>
      </c>
      <c r="H16">
        <v>50</v>
      </c>
      <c r="I16">
        <v>220</v>
      </c>
      <c r="J16">
        <v>220</v>
      </c>
      <c r="K16">
        <v>1.0165289256198345E-2</v>
      </c>
      <c r="L16">
        <v>0.14975206611570252</v>
      </c>
      <c r="M16">
        <v>4.5007712992388817E-3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101</v>
      </c>
      <c r="C17">
        <v>1</v>
      </c>
      <c r="D17" t="s">
        <v>193</v>
      </c>
      <c r="E17">
        <v>8</v>
      </c>
      <c r="F17">
        <v>4</v>
      </c>
      <c r="G17">
        <v>1000</v>
      </c>
      <c r="H17">
        <v>50</v>
      </c>
      <c r="I17">
        <v>220</v>
      </c>
      <c r="J17">
        <v>220</v>
      </c>
      <c r="K17">
        <v>1.0165289256198345E-2</v>
      </c>
      <c r="L17">
        <v>0.14975206611570252</v>
      </c>
      <c r="M17">
        <v>4.5007712992388817E-3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102</v>
      </c>
      <c r="C18">
        <v>1</v>
      </c>
      <c r="D18" t="s">
        <v>194</v>
      </c>
      <c r="E18">
        <v>9</v>
      </c>
      <c r="F18">
        <v>2</v>
      </c>
      <c r="G18">
        <v>1000</v>
      </c>
      <c r="H18">
        <v>50</v>
      </c>
      <c r="I18">
        <v>220</v>
      </c>
      <c r="J18">
        <v>220</v>
      </c>
      <c r="K18">
        <v>2.6900826446280991E-2</v>
      </c>
      <c r="L18">
        <v>0.38677685950413221</v>
      </c>
      <c r="M18">
        <v>9.7313974037597419E-3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103</v>
      </c>
      <c r="C19">
        <v>1</v>
      </c>
      <c r="D19" t="s">
        <v>195</v>
      </c>
      <c r="E19">
        <v>9</v>
      </c>
      <c r="F19">
        <v>2</v>
      </c>
      <c r="G19">
        <v>1000</v>
      </c>
      <c r="H19">
        <v>50</v>
      </c>
      <c r="I19">
        <v>220</v>
      </c>
      <c r="J19">
        <v>220</v>
      </c>
      <c r="K19">
        <v>2.6900826446280991E-2</v>
      </c>
      <c r="L19">
        <v>0.38677685950413221</v>
      </c>
      <c r="M19">
        <v>9.7313974037597419E-3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5">
      <c r="A20" s="1">
        <v>18</v>
      </c>
      <c r="B20" t="s">
        <v>104</v>
      </c>
      <c r="C20">
        <v>1</v>
      </c>
      <c r="D20" t="s">
        <v>196</v>
      </c>
      <c r="E20">
        <v>10</v>
      </c>
      <c r="F20">
        <v>15</v>
      </c>
      <c r="G20">
        <v>1000</v>
      </c>
      <c r="H20">
        <v>50</v>
      </c>
      <c r="I20">
        <v>380</v>
      </c>
      <c r="J20">
        <v>380</v>
      </c>
      <c r="K20">
        <v>6.1634349030470909E-3</v>
      </c>
      <c r="L20">
        <v>7.1121883656509677E-2</v>
      </c>
      <c r="M20">
        <v>1.7011724219188732E-2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s="1">
        <v>19</v>
      </c>
      <c r="B21" t="s">
        <v>105</v>
      </c>
      <c r="C21">
        <v>1</v>
      </c>
      <c r="D21" t="s">
        <v>197</v>
      </c>
      <c r="E21">
        <v>11</v>
      </c>
      <c r="F21">
        <v>30</v>
      </c>
      <c r="G21">
        <v>1000</v>
      </c>
      <c r="H21">
        <v>50</v>
      </c>
      <c r="I21">
        <v>380</v>
      </c>
      <c r="J21">
        <v>380</v>
      </c>
      <c r="K21">
        <v>6.5096952908587254E-3</v>
      </c>
      <c r="L21">
        <v>7.4459833795013863E-2</v>
      </c>
      <c r="M21">
        <v>1.7646828590038445E-2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5">
      <c r="A22" s="1">
        <v>20</v>
      </c>
      <c r="B22" t="s">
        <v>106</v>
      </c>
      <c r="C22">
        <v>1</v>
      </c>
      <c r="D22" t="s">
        <v>198</v>
      </c>
      <c r="E22">
        <v>11</v>
      </c>
      <c r="F22">
        <v>30</v>
      </c>
      <c r="G22">
        <v>1000</v>
      </c>
      <c r="H22">
        <v>50</v>
      </c>
      <c r="I22">
        <v>380</v>
      </c>
      <c r="J22">
        <v>380</v>
      </c>
      <c r="K22">
        <v>6.5096952908587254E-3</v>
      </c>
      <c r="L22">
        <v>7.4459833795013863E-2</v>
      </c>
      <c r="M22">
        <v>1.7646828590038445E-2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5">
      <c r="A23" s="1">
        <v>21</v>
      </c>
      <c r="B23" t="s">
        <v>107</v>
      </c>
      <c r="C23">
        <v>1</v>
      </c>
      <c r="D23" t="s">
        <v>199</v>
      </c>
      <c r="E23">
        <v>12</v>
      </c>
      <c r="F23">
        <v>29</v>
      </c>
      <c r="G23">
        <v>1000</v>
      </c>
      <c r="H23">
        <v>50</v>
      </c>
      <c r="I23">
        <v>380</v>
      </c>
      <c r="J23">
        <v>380</v>
      </c>
      <c r="K23">
        <v>2.7700831024930739E-3</v>
      </c>
      <c r="L23">
        <v>3.2202216066481999E-2</v>
      </c>
      <c r="M23">
        <v>7.7119816460322248E-3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5">
      <c r="A24" s="1">
        <v>22</v>
      </c>
      <c r="B24" t="s">
        <v>108</v>
      </c>
      <c r="C24">
        <v>1</v>
      </c>
      <c r="D24" t="s">
        <v>200</v>
      </c>
      <c r="E24">
        <v>12</v>
      </c>
      <c r="F24">
        <v>29</v>
      </c>
      <c r="G24">
        <v>1000</v>
      </c>
      <c r="H24">
        <v>50</v>
      </c>
      <c r="I24">
        <v>380</v>
      </c>
      <c r="J24">
        <v>380</v>
      </c>
      <c r="K24">
        <v>2.7700831024930739E-3</v>
      </c>
      <c r="L24">
        <v>3.2202216066481999E-2</v>
      </c>
      <c r="M24">
        <v>7.7119816460322248E-3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>
        <v>23</v>
      </c>
      <c r="B25" t="s">
        <v>109</v>
      </c>
      <c r="C25">
        <v>1</v>
      </c>
      <c r="D25" t="s">
        <v>201</v>
      </c>
      <c r="E25">
        <v>12</v>
      </c>
      <c r="F25">
        <v>31</v>
      </c>
      <c r="G25">
        <v>1000</v>
      </c>
      <c r="H25">
        <v>50</v>
      </c>
      <c r="I25">
        <v>380</v>
      </c>
      <c r="J25">
        <v>380</v>
      </c>
      <c r="K25">
        <v>1.5235457063711908E-3</v>
      </c>
      <c r="L25">
        <v>1.8975069252077564E-2</v>
      </c>
      <c r="M25">
        <v>6.4871375022506365E-3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>
        <v>24</v>
      </c>
      <c r="B26" t="s">
        <v>110</v>
      </c>
      <c r="C26">
        <v>1</v>
      </c>
      <c r="D26" t="s">
        <v>202</v>
      </c>
      <c r="E26">
        <v>12</v>
      </c>
      <c r="F26">
        <v>31</v>
      </c>
      <c r="G26">
        <v>1000</v>
      </c>
      <c r="H26">
        <v>50</v>
      </c>
      <c r="I26">
        <v>380</v>
      </c>
      <c r="J26">
        <v>380</v>
      </c>
      <c r="K26">
        <v>1.5235457063711908E-3</v>
      </c>
      <c r="L26">
        <v>1.8975069252077564E-2</v>
      </c>
      <c r="M26">
        <v>6.4871375022506365E-3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5">
      <c r="A27" s="1">
        <v>25</v>
      </c>
      <c r="B27" t="s">
        <v>111</v>
      </c>
      <c r="C27">
        <v>1</v>
      </c>
      <c r="D27" t="s">
        <v>203</v>
      </c>
      <c r="E27">
        <v>13</v>
      </c>
      <c r="F27">
        <v>31</v>
      </c>
      <c r="G27">
        <v>1000</v>
      </c>
      <c r="H27">
        <v>50</v>
      </c>
      <c r="I27">
        <v>380</v>
      </c>
      <c r="J27">
        <v>380</v>
      </c>
      <c r="K27">
        <v>4.3421052631578945E-3</v>
      </c>
      <c r="L27">
        <v>6.8704986149584479E-2</v>
      </c>
      <c r="M27">
        <v>2.0822350444287006E-2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>
        <v>26</v>
      </c>
      <c r="B28" t="s">
        <v>112</v>
      </c>
      <c r="C28">
        <v>1</v>
      </c>
      <c r="D28" t="s">
        <v>204</v>
      </c>
      <c r="E28">
        <v>13</v>
      </c>
      <c r="F28">
        <v>31</v>
      </c>
      <c r="G28">
        <v>1000</v>
      </c>
      <c r="H28">
        <v>50</v>
      </c>
      <c r="I28">
        <v>380</v>
      </c>
      <c r="J28">
        <v>380</v>
      </c>
      <c r="K28">
        <v>4.3421052631578945E-3</v>
      </c>
      <c r="L28">
        <v>6.8704986149584479E-2</v>
      </c>
      <c r="M28">
        <v>2.0822350444287006E-2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5">
      <c r="A29" s="1">
        <v>27</v>
      </c>
      <c r="B29" t="s">
        <v>113</v>
      </c>
      <c r="C29">
        <v>1</v>
      </c>
      <c r="D29" t="s">
        <v>205</v>
      </c>
      <c r="E29">
        <v>14</v>
      </c>
      <c r="F29">
        <v>24</v>
      </c>
      <c r="G29">
        <v>1000</v>
      </c>
      <c r="H29">
        <v>50</v>
      </c>
      <c r="I29">
        <v>380</v>
      </c>
      <c r="J29">
        <v>380</v>
      </c>
      <c r="K29">
        <v>1.5720221606648204E-3</v>
      </c>
      <c r="L29">
        <v>2.4903047091412743E-2</v>
      </c>
      <c r="M29">
        <v>6.7139604918398195E-3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s="1">
        <v>28</v>
      </c>
      <c r="B30" t="s">
        <v>114</v>
      </c>
      <c r="C30">
        <v>1</v>
      </c>
      <c r="D30" t="s">
        <v>206</v>
      </c>
      <c r="E30">
        <v>14</v>
      </c>
      <c r="F30">
        <v>24</v>
      </c>
      <c r="G30">
        <v>1000</v>
      </c>
      <c r="H30">
        <v>50</v>
      </c>
      <c r="I30">
        <v>380</v>
      </c>
      <c r="J30">
        <v>380</v>
      </c>
      <c r="K30">
        <v>1.5720221606648204E-3</v>
      </c>
      <c r="L30">
        <v>2.4903047091412743E-2</v>
      </c>
      <c r="M30">
        <v>6.7139604918398195E-3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s="1">
        <v>29</v>
      </c>
      <c r="B31" t="s">
        <v>115</v>
      </c>
      <c r="C31">
        <v>1</v>
      </c>
      <c r="D31" t="s">
        <v>207</v>
      </c>
      <c r="E31">
        <v>16</v>
      </c>
      <c r="F31">
        <v>17</v>
      </c>
      <c r="G31">
        <v>1000</v>
      </c>
      <c r="H31">
        <v>50</v>
      </c>
      <c r="I31">
        <v>380</v>
      </c>
      <c r="J31">
        <v>380</v>
      </c>
      <c r="K31">
        <v>7.998614958448752E-3</v>
      </c>
      <c r="L31">
        <v>8.5678670360110815E-2</v>
      </c>
      <c r="M31">
        <v>2.0595527454697823E-2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5">
      <c r="A32" s="1">
        <v>30</v>
      </c>
      <c r="B32" t="s">
        <v>116</v>
      </c>
      <c r="C32">
        <v>1</v>
      </c>
      <c r="D32" t="s">
        <v>208</v>
      </c>
      <c r="E32">
        <v>16</v>
      </c>
      <c r="F32">
        <v>17</v>
      </c>
      <c r="G32">
        <v>1000</v>
      </c>
      <c r="H32">
        <v>50</v>
      </c>
      <c r="I32">
        <v>380</v>
      </c>
      <c r="J32">
        <v>380</v>
      </c>
      <c r="K32">
        <v>7.998614958448752E-3</v>
      </c>
      <c r="L32">
        <v>8.5678670360110815E-2</v>
      </c>
      <c r="M32">
        <v>2.0595527454697823E-2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s="1">
        <v>31</v>
      </c>
      <c r="B33" t="s">
        <v>117</v>
      </c>
      <c r="C33">
        <v>1</v>
      </c>
      <c r="D33" t="s">
        <v>209</v>
      </c>
      <c r="E33">
        <v>17</v>
      </c>
      <c r="F33">
        <v>23</v>
      </c>
      <c r="G33">
        <v>1000</v>
      </c>
      <c r="H33">
        <v>50</v>
      </c>
      <c r="I33">
        <v>380</v>
      </c>
      <c r="J33">
        <v>380</v>
      </c>
      <c r="K33">
        <v>1.0325484764542939E-2</v>
      </c>
      <c r="L33">
        <v>0.11108033240997228</v>
      </c>
      <c r="M33">
        <v>2.6629018977770091E-2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5">
      <c r="A34" s="1">
        <v>32</v>
      </c>
      <c r="B34" t="s">
        <v>118</v>
      </c>
      <c r="C34">
        <v>1</v>
      </c>
      <c r="D34" t="s">
        <v>210</v>
      </c>
      <c r="E34">
        <v>17</v>
      </c>
      <c r="F34">
        <v>23</v>
      </c>
      <c r="G34">
        <v>1000</v>
      </c>
      <c r="H34">
        <v>50</v>
      </c>
      <c r="I34">
        <v>380</v>
      </c>
      <c r="J34">
        <v>380</v>
      </c>
      <c r="K34">
        <v>1.0325484764542939E-2</v>
      </c>
      <c r="L34">
        <v>0.11108033240997228</v>
      </c>
      <c r="M34">
        <v>2.6629018977770091E-2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5">
      <c r="A35" s="1">
        <v>33</v>
      </c>
      <c r="B35" s="25" t="s">
        <v>119</v>
      </c>
      <c r="C35" s="25">
        <v>1</v>
      </c>
      <c r="D35" s="25" t="s">
        <v>211</v>
      </c>
      <c r="E35" s="25">
        <v>17</v>
      </c>
      <c r="F35" s="25">
        <v>40</v>
      </c>
      <c r="G35" s="25">
        <v>1000</v>
      </c>
      <c r="H35" s="25">
        <v>50</v>
      </c>
      <c r="I35" s="25">
        <v>380</v>
      </c>
      <c r="J35" s="25">
        <v>380</v>
      </c>
      <c r="K35" s="25">
        <f>L35*0.03</f>
        <v>8.9999999999999998E-4</v>
      </c>
      <c r="L35" s="25">
        <v>0.03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1</v>
      </c>
      <c r="U35" s="25">
        <v>0</v>
      </c>
    </row>
    <row r="36" spans="1:21" x14ac:dyDescent="0.25">
      <c r="A36" s="1">
        <v>34</v>
      </c>
      <c r="B36" s="25" t="s">
        <v>120</v>
      </c>
      <c r="C36" s="25">
        <v>1</v>
      </c>
      <c r="D36" s="25" t="s">
        <v>212</v>
      </c>
      <c r="E36" s="25">
        <v>17</v>
      </c>
      <c r="F36" s="25">
        <v>40</v>
      </c>
      <c r="G36" s="25">
        <v>1000</v>
      </c>
      <c r="H36" s="25">
        <v>50</v>
      </c>
      <c r="I36" s="25">
        <v>380</v>
      </c>
      <c r="J36" s="25">
        <v>380</v>
      </c>
      <c r="K36" s="25">
        <f>L36*0.03</f>
        <v>8.9999999999999998E-4</v>
      </c>
      <c r="L36" s="25">
        <v>0.03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1</v>
      </c>
      <c r="U36" s="25">
        <v>0</v>
      </c>
    </row>
    <row r="37" spans="1:21" x14ac:dyDescent="0.25">
      <c r="A37" s="1">
        <v>35</v>
      </c>
      <c r="B37" t="s">
        <v>121</v>
      </c>
      <c r="C37">
        <v>1</v>
      </c>
      <c r="D37" t="s">
        <v>213</v>
      </c>
      <c r="E37">
        <v>18</v>
      </c>
      <c r="F37">
        <v>27</v>
      </c>
      <c r="G37">
        <v>1000</v>
      </c>
      <c r="H37">
        <v>50</v>
      </c>
      <c r="I37">
        <v>380</v>
      </c>
      <c r="J37">
        <v>380</v>
      </c>
      <c r="K37">
        <v>3.5249307479224383E-3</v>
      </c>
      <c r="L37">
        <v>6.0727146814404429E-2</v>
      </c>
      <c r="M37">
        <v>1.6694172033763874E-2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5">
      <c r="A38" s="1">
        <v>36</v>
      </c>
      <c r="B38" t="s">
        <v>122</v>
      </c>
      <c r="C38">
        <v>1</v>
      </c>
      <c r="D38" t="s">
        <v>214</v>
      </c>
      <c r="E38">
        <v>18</v>
      </c>
      <c r="F38">
        <v>27</v>
      </c>
      <c r="G38">
        <v>1000</v>
      </c>
      <c r="H38">
        <v>50</v>
      </c>
      <c r="I38">
        <v>380</v>
      </c>
      <c r="J38">
        <v>380</v>
      </c>
      <c r="K38">
        <v>3.5249307479224383E-3</v>
      </c>
      <c r="L38">
        <v>6.0727146814404429E-2</v>
      </c>
      <c r="M38">
        <v>1.6694172033763874E-2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5">
      <c r="A39" s="1">
        <v>37</v>
      </c>
      <c r="B39" t="s">
        <v>123</v>
      </c>
      <c r="C39">
        <v>1</v>
      </c>
      <c r="D39" t="s">
        <v>215</v>
      </c>
      <c r="E39">
        <v>20</v>
      </c>
      <c r="F39">
        <v>34</v>
      </c>
      <c r="G39">
        <v>1000</v>
      </c>
      <c r="H39">
        <v>50</v>
      </c>
      <c r="I39">
        <v>380</v>
      </c>
      <c r="J39">
        <v>380</v>
      </c>
      <c r="K39">
        <v>5.6094182825484765E-3</v>
      </c>
      <c r="L39">
        <v>6.0574792243767307E-2</v>
      </c>
      <c r="M39">
        <v>1.4516671333707714E-2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 s="1">
        <v>38</v>
      </c>
      <c r="B40" t="s">
        <v>124</v>
      </c>
      <c r="C40">
        <v>1</v>
      </c>
      <c r="D40" t="s">
        <v>216</v>
      </c>
      <c r="E40">
        <v>20</v>
      </c>
      <c r="F40">
        <v>34</v>
      </c>
      <c r="G40">
        <v>1000</v>
      </c>
      <c r="H40">
        <v>50</v>
      </c>
      <c r="I40">
        <v>380</v>
      </c>
      <c r="J40">
        <v>380</v>
      </c>
      <c r="K40">
        <v>5.6094182825484765E-3</v>
      </c>
      <c r="L40">
        <v>6.0574792243767307E-2</v>
      </c>
      <c r="M40">
        <v>1.4516671333707714E-2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5">
      <c r="A41" s="1">
        <v>39</v>
      </c>
      <c r="B41" t="s">
        <v>125</v>
      </c>
      <c r="C41">
        <v>1</v>
      </c>
      <c r="D41" t="s">
        <v>217</v>
      </c>
      <c r="E41">
        <v>21</v>
      </c>
      <c r="F41">
        <v>18</v>
      </c>
      <c r="G41">
        <v>1000</v>
      </c>
      <c r="H41">
        <v>50</v>
      </c>
      <c r="I41">
        <v>380</v>
      </c>
      <c r="J41">
        <v>380</v>
      </c>
      <c r="K41">
        <v>1.3850415512465375E-4</v>
      </c>
      <c r="L41">
        <v>2.2853185595567873E-3</v>
      </c>
      <c r="M41">
        <v>6.5325021001684709E-4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5">
      <c r="A42" s="1">
        <v>40</v>
      </c>
      <c r="B42" t="s">
        <v>126</v>
      </c>
      <c r="C42">
        <v>1</v>
      </c>
      <c r="D42" t="s">
        <v>218</v>
      </c>
      <c r="E42">
        <v>21</v>
      </c>
      <c r="F42">
        <v>18</v>
      </c>
      <c r="G42">
        <v>1000</v>
      </c>
      <c r="H42">
        <v>50</v>
      </c>
      <c r="I42">
        <v>380</v>
      </c>
      <c r="J42">
        <v>380</v>
      </c>
      <c r="K42">
        <v>1.3850415512465375E-4</v>
      </c>
      <c r="L42">
        <v>2.2853185595567873E-3</v>
      </c>
      <c r="M42">
        <v>6.5325021001684709E-4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5">
      <c r="A43" s="1">
        <v>41</v>
      </c>
      <c r="B43" s="25" t="s">
        <v>127</v>
      </c>
      <c r="C43" s="25">
        <v>1</v>
      </c>
      <c r="D43" s="25" t="s">
        <v>219</v>
      </c>
      <c r="E43" s="25">
        <v>39</v>
      </c>
      <c r="F43" s="25">
        <v>23</v>
      </c>
      <c r="G43" s="25">
        <v>1000</v>
      </c>
      <c r="H43" s="25">
        <v>50</v>
      </c>
      <c r="I43" s="25">
        <v>380</v>
      </c>
      <c r="J43" s="25">
        <v>380</v>
      </c>
      <c r="K43" s="25">
        <f>L43*0.03</f>
        <v>8.9999999999999998E-4</v>
      </c>
      <c r="L43" s="25">
        <v>0.03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1</v>
      </c>
      <c r="U43" s="25">
        <v>0</v>
      </c>
    </row>
    <row r="44" spans="1:21" x14ac:dyDescent="0.25">
      <c r="A44" s="1">
        <v>42</v>
      </c>
      <c r="B44" s="25" t="s">
        <v>128</v>
      </c>
      <c r="C44" s="25">
        <v>1</v>
      </c>
      <c r="D44" s="25" t="s">
        <v>220</v>
      </c>
      <c r="E44" s="25">
        <v>39</v>
      </c>
      <c r="F44" s="25">
        <v>23</v>
      </c>
      <c r="G44" s="25">
        <v>1000</v>
      </c>
      <c r="H44" s="25">
        <v>50</v>
      </c>
      <c r="I44" s="25">
        <v>380</v>
      </c>
      <c r="J44" s="25">
        <v>380</v>
      </c>
      <c r="K44" s="25">
        <f>L44*0.03</f>
        <v>8.9999999999999998E-4</v>
      </c>
      <c r="L44" s="25">
        <v>0.03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1</v>
      </c>
      <c r="U44" s="25">
        <v>0</v>
      </c>
    </row>
    <row r="45" spans="1:21" x14ac:dyDescent="0.25">
      <c r="A45" s="1">
        <v>43</v>
      </c>
      <c r="B45" t="s">
        <v>129</v>
      </c>
      <c r="C45">
        <v>1</v>
      </c>
      <c r="D45" t="s">
        <v>221</v>
      </c>
      <c r="E45">
        <v>24</v>
      </c>
      <c r="F45">
        <v>10</v>
      </c>
      <c r="G45">
        <v>1000</v>
      </c>
      <c r="H45">
        <v>50</v>
      </c>
      <c r="I45">
        <v>380</v>
      </c>
      <c r="J45">
        <v>380</v>
      </c>
      <c r="K45">
        <v>3.2548476454293627E-3</v>
      </c>
      <c r="L45">
        <v>3.7950138504155129E-2</v>
      </c>
      <c r="M45">
        <v>9.0729195835673234E-3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5">
      <c r="A46" s="1">
        <v>44</v>
      </c>
      <c r="B46" t="s">
        <v>130</v>
      </c>
      <c r="C46">
        <v>1</v>
      </c>
      <c r="D46" t="s">
        <v>222</v>
      </c>
      <c r="E46">
        <v>24</v>
      </c>
      <c r="F46">
        <v>13</v>
      </c>
      <c r="G46">
        <v>1000</v>
      </c>
      <c r="H46">
        <v>50</v>
      </c>
      <c r="I46">
        <v>380</v>
      </c>
      <c r="J46">
        <v>380</v>
      </c>
      <c r="K46">
        <v>1.9598337950138506E-3</v>
      </c>
      <c r="L46">
        <v>3.130886426592798E-2</v>
      </c>
      <c r="M46">
        <v>8.3924506147997728E-3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5">
      <c r="A47" s="1">
        <v>45</v>
      </c>
      <c r="B47" t="s">
        <v>131</v>
      </c>
      <c r="C47">
        <v>1</v>
      </c>
      <c r="D47" t="s">
        <v>223</v>
      </c>
      <c r="E47">
        <v>24</v>
      </c>
      <c r="F47">
        <v>13</v>
      </c>
      <c r="G47">
        <v>1000</v>
      </c>
      <c r="H47">
        <v>50</v>
      </c>
      <c r="I47">
        <v>380</v>
      </c>
      <c r="J47">
        <v>380</v>
      </c>
      <c r="K47">
        <v>1.9598337950138506E-3</v>
      </c>
      <c r="L47">
        <v>3.130886426592798E-2</v>
      </c>
      <c r="M47">
        <v>8.3924506147997728E-3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5">
      <c r="A48" s="1">
        <v>46</v>
      </c>
      <c r="B48" t="s">
        <v>132</v>
      </c>
      <c r="C48">
        <v>1</v>
      </c>
      <c r="D48" t="s">
        <v>224</v>
      </c>
      <c r="E48">
        <v>24</v>
      </c>
      <c r="F48">
        <v>22</v>
      </c>
      <c r="G48">
        <v>1000</v>
      </c>
      <c r="H48">
        <v>50</v>
      </c>
      <c r="I48">
        <v>380</v>
      </c>
      <c r="J48">
        <v>380</v>
      </c>
      <c r="K48">
        <v>5.5055401662049853E-3</v>
      </c>
      <c r="L48">
        <v>6.4494459833795023E-2</v>
      </c>
      <c r="M48">
        <v>1.542396329206445E-2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 s="1">
        <v>47</v>
      </c>
      <c r="B49" t="s">
        <v>133</v>
      </c>
      <c r="C49">
        <v>1</v>
      </c>
      <c r="D49" t="s">
        <v>225</v>
      </c>
      <c r="E49">
        <v>24</v>
      </c>
      <c r="F49">
        <v>22</v>
      </c>
      <c r="G49">
        <v>1000</v>
      </c>
      <c r="H49">
        <v>50</v>
      </c>
      <c r="I49">
        <v>380</v>
      </c>
      <c r="J49">
        <v>380</v>
      </c>
      <c r="K49">
        <v>5.5055401662049853E-3</v>
      </c>
      <c r="L49">
        <v>6.4494459833795023E-2</v>
      </c>
      <c r="M49">
        <v>1.542396329206445E-2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5">
      <c r="A50" s="1">
        <v>48</v>
      </c>
      <c r="B50" t="s">
        <v>134</v>
      </c>
      <c r="C50">
        <v>1</v>
      </c>
      <c r="D50" t="s">
        <v>226</v>
      </c>
      <c r="E50">
        <v>25</v>
      </c>
      <c r="F50">
        <v>20</v>
      </c>
      <c r="G50">
        <v>1000</v>
      </c>
      <c r="H50">
        <v>50</v>
      </c>
      <c r="I50">
        <v>380</v>
      </c>
      <c r="J50">
        <v>380</v>
      </c>
      <c r="K50">
        <v>3.4072022160664822E-3</v>
      </c>
      <c r="L50">
        <v>3.9632963988919669E-2</v>
      </c>
      <c r="M50">
        <v>9.5265655627456876E-3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5">
      <c r="A51" s="1">
        <v>49</v>
      </c>
      <c r="B51" t="s">
        <v>135</v>
      </c>
      <c r="C51">
        <v>1</v>
      </c>
      <c r="D51" t="s">
        <v>227</v>
      </c>
      <c r="E51">
        <v>25</v>
      </c>
      <c r="F51">
        <v>20</v>
      </c>
      <c r="G51">
        <v>1000</v>
      </c>
      <c r="H51">
        <v>50</v>
      </c>
      <c r="I51">
        <v>380</v>
      </c>
      <c r="J51">
        <v>380</v>
      </c>
      <c r="K51">
        <v>3.4072022160664822E-3</v>
      </c>
      <c r="L51">
        <v>3.9632963988919669E-2</v>
      </c>
      <c r="M51">
        <v>9.5265655627456876E-3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5">
      <c r="A52" s="1">
        <v>50</v>
      </c>
      <c r="B52" t="s">
        <v>136</v>
      </c>
      <c r="C52">
        <v>1</v>
      </c>
      <c r="D52" t="s">
        <v>228</v>
      </c>
      <c r="E52">
        <v>26</v>
      </c>
      <c r="F52">
        <v>19</v>
      </c>
      <c r="G52">
        <v>1000</v>
      </c>
      <c r="H52">
        <v>50</v>
      </c>
      <c r="I52">
        <v>380</v>
      </c>
      <c r="J52">
        <v>380</v>
      </c>
      <c r="K52">
        <v>7.8462603878116342E-3</v>
      </c>
      <c r="L52">
        <v>9.2458448753462583E-2</v>
      </c>
      <c r="M52">
        <v>2.2092559185986429E-2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 s="1">
        <v>51</v>
      </c>
      <c r="B53" t="s">
        <v>137</v>
      </c>
      <c r="C53">
        <v>1</v>
      </c>
      <c r="D53" t="s">
        <v>229</v>
      </c>
      <c r="E53">
        <v>26</v>
      </c>
      <c r="F53">
        <v>19</v>
      </c>
      <c r="G53">
        <v>1000</v>
      </c>
      <c r="H53">
        <v>50</v>
      </c>
      <c r="I53">
        <v>380</v>
      </c>
      <c r="J53">
        <v>380</v>
      </c>
      <c r="K53">
        <v>7.8462603878116342E-3</v>
      </c>
      <c r="L53">
        <v>9.2458448753462583E-2</v>
      </c>
      <c r="M53">
        <v>2.2092559185986429E-2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s="1">
        <v>52</v>
      </c>
      <c r="B54" s="25" t="s">
        <v>138</v>
      </c>
      <c r="C54" s="25">
        <v>1</v>
      </c>
      <c r="D54" s="25" t="s">
        <v>230</v>
      </c>
      <c r="E54" s="25">
        <v>26</v>
      </c>
      <c r="F54" s="25">
        <v>41</v>
      </c>
      <c r="G54" s="25">
        <v>1000</v>
      </c>
      <c r="H54" s="25">
        <v>50</v>
      </c>
      <c r="I54" s="25">
        <v>380</v>
      </c>
      <c r="J54" s="25">
        <v>380</v>
      </c>
      <c r="K54" s="25">
        <f>L54*0.03</f>
        <v>8.9999999999999998E-4</v>
      </c>
      <c r="L54" s="25">
        <v>0.03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1</v>
      </c>
      <c r="U54" s="25">
        <v>0</v>
      </c>
    </row>
    <row r="55" spans="1:21" x14ac:dyDescent="0.25">
      <c r="A55" s="1">
        <v>53</v>
      </c>
      <c r="B55" s="25" t="s">
        <v>139</v>
      </c>
      <c r="C55" s="25">
        <v>1</v>
      </c>
      <c r="D55" s="25" t="s">
        <v>231</v>
      </c>
      <c r="E55" s="25">
        <v>26</v>
      </c>
      <c r="F55" s="25">
        <v>42</v>
      </c>
      <c r="G55" s="25">
        <v>1000</v>
      </c>
      <c r="H55" s="25">
        <v>50</v>
      </c>
      <c r="I55" s="25">
        <v>380</v>
      </c>
      <c r="J55" s="25">
        <v>380</v>
      </c>
      <c r="K55" s="25">
        <f>L55*0.03</f>
        <v>8.9999999999999998E-4</v>
      </c>
      <c r="L55" s="25">
        <v>0.03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1</v>
      </c>
      <c r="U55" s="25">
        <v>0</v>
      </c>
    </row>
    <row r="56" spans="1:21" x14ac:dyDescent="0.25">
      <c r="A56" s="1">
        <v>54</v>
      </c>
      <c r="B56" s="25" t="s">
        <v>140</v>
      </c>
      <c r="C56" s="25">
        <v>1</v>
      </c>
      <c r="D56" s="25" t="s">
        <v>232</v>
      </c>
      <c r="E56" s="25">
        <v>27</v>
      </c>
      <c r="F56" s="25">
        <v>38</v>
      </c>
      <c r="G56" s="25">
        <v>1000</v>
      </c>
      <c r="H56" s="25">
        <v>50</v>
      </c>
      <c r="I56" s="25">
        <v>380</v>
      </c>
      <c r="J56" s="25">
        <v>380</v>
      </c>
      <c r="K56" s="25">
        <f>L56*0.03</f>
        <v>8.9999999999999998E-4</v>
      </c>
      <c r="L56" s="25">
        <v>0.03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1</v>
      </c>
      <c r="U56" s="25">
        <v>0</v>
      </c>
    </row>
    <row r="57" spans="1:21" x14ac:dyDescent="0.25">
      <c r="A57" s="1">
        <v>55</v>
      </c>
      <c r="B57" s="25" t="s">
        <v>141</v>
      </c>
      <c r="C57" s="25">
        <v>1</v>
      </c>
      <c r="D57" s="25" t="s">
        <v>233</v>
      </c>
      <c r="E57" s="25">
        <v>27</v>
      </c>
      <c r="F57" s="25">
        <v>38</v>
      </c>
      <c r="G57" s="25">
        <v>1000</v>
      </c>
      <c r="H57" s="25">
        <v>50</v>
      </c>
      <c r="I57" s="25">
        <v>380</v>
      </c>
      <c r="J57" s="25">
        <v>380</v>
      </c>
      <c r="K57" s="25">
        <f>L57*0.03</f>
        <v>8.9999999999999998E-4</v>
      </c>
      <c r="L57" s="25">
        <v>0.03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1</v>
      </c>
      <c r="U57" s="25">
        <v>0</v>
      </c>
    </row>
    <row r="58" spans="1:21" x14ac:dyDescent="0.25">
      <c r="A58" s="1">
        <v>56</v>
      </c>
      <c r="B58" t="s">
        <v>142</v>
      </c>
      <c r="C58">
        <v>1</v>
      </c>
      <c r="D58" t="s">
        <v>234</v>
      </c>
      <c r="E58">
        <v>28</v>
      </c>
      <c r="F58">
        <v>14</v>
      </c>
      <c r="G58">
        <v>1000</v>
      </c>
      <c r="H58">
        <v>50</v>
      </c>
      <c r="I58">
        <v>380</v>
      </c>
      <c r="J58">
        <v>380</v>
      </c>
      <c r="K58">
        <v>7.0317494140208856E-3</v>
      </c>
      <c r="L58">
        <v>0.11075005327082889</v>
      </c>
      <c r="M58">
        <v>2.994063462577216E-2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5">
      <c r="A59" s="1">
        <v>57</v>
      </c>
      <c r="B59" t="s">
        <v>143</v>
      </c>
      <c r="C59">
        <v>1</v>
      </c>
      <c r="D59" t="s">
        <v>235</v>
      </c>
      <c r="E59">
        <v>28</v>
      </c>
      <c r="F59">
        <v>14</v>
      </c>
      <c r="G59">
        <v>1000</v>
      </c>
      <c r="H59">
        <v>50</v>
      </c>
      <c r="I59">
        <v>380</v>
      </c>
      <c r="J59">
        <v>380</v>
      </c>
      <c r="K59">
        <v>7.0317494140208856E-3</v>
      </c>
      <c r="L59">
        <v>0.11075005327082889</v>
      </c>
      <c r="M59">
        <v>2.994063462577216E-2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 s="1">
        <v>58</v>
      </c>
      <c r="B60" t="s">
        <v>144</v>
      </c>
      <c r="C60">
        <v>1</v>
      </c>
      <c r="D60" t="s">
        <v>236</v>
      </c>
      <c r="E60">
        <v>29</v>
      </c>
      <c r="F60">
        <v>15</v>
      </c>
      <c r="G60">
        <v>1000</v>
      </c>
      <c r="H60">
        <v>50</v>
      </c>
      <c r="I60">
        <v>380</v>
      </c>
      <c r="J60">
        <v>380</v>
      </c>
      <c r="K60">
        <v>2.4584487534626042E-3</v>
      </c>
      <c r="L60">
        <v>2.8815789473684208E-2</v>
      </c>
      <c r="M60">
        <v>6.8954188835111648E-3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>
        <v>59</v>
      </c>
      <c r="B61" s="25" t="s">
        <v>145</v>
      </c>
      <c r="C61" s="25">
        <v>1</v>
      </c>
      <c r="D61" s="25" t="s">
        <v>237</v>
      </c>
      <c r="E61" s="25">
        <v>30</v>
      </c>
      <c r="F61" s="25">
        <v>44</v>
      </c>
      <c r="G61" s="25">
        <v>1000</v>
      </c>
      <c r="H61" s="25">
        <v>50</v>
      </c>
      <c r="I61" s="25">
        <v>380</v>
      </c>
      <c r="J61" s="25">
        <v>380</v>
      </c>
      <c r="K61" s="25">
        <f>L61*0.03</f>
        <v>8.9999999999999998E-4</v>
      </c>
      <c r="L61" s="25">
        <v>0.03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1</v>
      </c>
      <c r="U61" s="25">
        <v>0</v>
      </c>
    </row>
    <row r="62" spans="1:21" x14ac:dyDescent="0.25">
      <c r="A62" s="1">
        <v>60</v>
      </c>
      <c r="B62" s="25" t="s">
        <v>146</v>
      </c>
      <c r="C62" s="25">
        <v>1</v>
      </c>
      <c r="D62" s="25" t="s">
        <v>238</v>
      </c>
      <c r="E62" s="25">
        <v>30</v>
      </c>
      <c r="F62" s="25">
        <v>44</v>
      </c>
      <c r="G62" s="25">
        <v>1000</v>
      </c>
      <c r="H62" s="25">
        <v>50</v>
      </c>
      <c r="I62" s="25">
        <v>380</v>
      </c>
      <c r="J62" s="25">
        <v>380</v>
      </c>
      <c r="K62" s="25">
        <f>L62*0.03</f>
        <v>8.9999999999999998E-4</v>
      </c>
      <c r="L62" s="25">
        <v>0.03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1</v>
      </c>
      <c r="U62" s="25">
        <v>0</v>
      </c>
    </row>
    <row r="63" spans="1:21" x14ac:dyDescent="0.25">
      <c r="A63" s="1">
        <v>61</v>
      </c>
      <c r="B63" s="25" t="s">
        <v>147</v>
      </c>
      <c r="C63" s="25">
        <v>1</v>
      </c>
      <c r="D63" s="25" t="s">
        <v>239</v>
      </c>
      <c r="E63" s="25">
        <v>43</v>
      </c>
      <c r="F63" s="25">
        <v>26</v>
      </c>
      <c r="G63" s="25">
        <v>1000</v>
      </c>
      <c r="H63" s="25">
        <v>50</v>
      </c>
      <c r="I63" s="25">
        <v>380</v>
      </c>
      <c r="J63" s="25">
        <v>380</v>
      </c>
      <c r="K63" s="25">
        <f>L63*0.03</f>
        <v>8.9999999999999998E-4</v>
      </c>
      <c r="L63" s="25">
        <v>0.03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>
        <v>0</v>
      </c>
      <c r="T63" s="25">
        <v>1</v>
      </c>
      <c r="U63" s="25">
        <v>0</v>
      </c>
    </row>
    <row r="64" spans="1:21" x14ac:dyDescent="0.25">
      <c r="A64" s="1">
        <v>62</v>
      </c>
      <c r="B64" s="25" t="s">
        <v>148</v>
      </c>
      <c r="C64" s="25">
        <v>1</v>
      </c>
      <c r="D64" s="25" t="s">
        <v>240</v>
      </c>
      <c r="E64" s="25">
        <v>43</v>
      </c>
      <c r="F64" s="25">
        <v>26</v>
      </c>
      <c r="G64" s="25">
        <v>1000</v>
      </c>
      <c r="H64" s="25">
        <v>50</v>
      </c>
      <c r="I64" s="25">
        <v>380</v>
      </c>
      <c r="J64" s="25">
        <v>380</v>
      </c>
      <c r="K64" s="25">
        <f>L64*0.03</f>
        <v>8.9999999999999998E-4</v>
      </c>
      <c r="L64" s="25">
        <v>0.03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1</v>
      </c>
      <c r="U64" s="25">
        <v>0</v>
      </c>
    </row>
    <row r="65" spans="1:21" x14ac:dyDescent="0.25">
      <c r="A65" s="1">
        <v>63</v>
      </c>
      <c r="B65" t="s">
        <v>149</v>
      </c>
      <c r="C65">
        <v>1</v>
      </c>
      <c r="D65" t="s">
        <v>241</v>
      </c>
      <c r="E65">
        <v>33</v>
      </c>
      <c r="F65">
        <v>13</v>
      </c>
      <c r="G65">
        <v>1000</v>
      </c>
      <c r="H65">
        <v>50</v>
      </c>
      <c r="I65">
        <v>380</v>
      </c>
      <c r="J65">
        <v>380</v>
      </c>
      <c r="K65">
        <v>1.2188365650969528E-3</v>
      </c>
      <c r="L65">
        <v>2.5311634349030467E-2</v>
      </c>
      <c r="M65">
        <v>9.9802115419240552E-3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 s="1">
        <v>64</v>
      </c>
      <c r="B66" t="s">
        <v>150</v>
      </c>
      <c r="C66">
        <v>1</v>
      </c>
      <c r="D66" t="s">
        <v>242</v>
      </c>
      <c r="E66">
        <v>33</v>
      </c>
      <c r="F66">
        <v>13</v>
      </c>
      <c r="G66">
        <v>1000</v>
      </c>
      <c r="H66">
        <v>50</v>
      </c>
      <c r="I66">
        <v>380</v>
      </c>
      <c r="J66">
        <v>380</v>
      </c>
      <c r="K66">
        <v>1.2188365650969528E-3</v>
      </c>
      <c r="L66">
        <v>2.5311634349030467E-2</v>
      </c>
      <c r="M66">
        <v>9.9802115419240552E-3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5">
      <c r="A67" s="1">
        <v>65</v>
      </c>
      <c r="B67" t="s">
        <v>151</v>
      </c>
      <c r="C67">
        <v>1</v>
      </c>
      <c r="D67" t="s">
        <v>243</v>
      </c>
      <c r="E67">
        <v>33</v>
      </c>
      <c r="F67">
        <v>32</v>
      </c>
      <c r="G67">
        <v>1000</v>
      </c>
      <c r="H67">
        <v>50</v>
      </c>
      <c r="I67">
        <v>380</v>
      </c>
      <c r="J67">
        <v>380</v>
      </c>
      <c r="K67">
        <v>7.1329639889196664E-4</v>
      </c>
      <c r="L67">
        <v>1.150969529085873E-2</v>
      </c>
      <c r="M67">
        <v>3.08479265841289E-3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 s="1">
        <v>66</v>
      </c>
      <c r="B68" t="s">
        <v>152</v>
      </c>
      <c r="C68">
        <v>1</v>
      </c>
      <c r="D68" t="s">
        <v>244</v>
      </c>
      <c r="E68">
        <v>33</v>
      </c>
      <c r="F68">
        <v>32</v>
      </c>
      <c r="G68">
        <v>1000</v>
      </c>
      <c r="H68">
        <v>50</v>
      </c>
      <c r="I68">
        <v>380</v>
      </c>
      <c r="J68">
        <v>380</v>
      </c>
      <c r="K68">
        <v>7.1329639889196664E-4</v>
      </c>
      <c r="L68">
        <v>1.150969529085873E-2</v>
      </c>
      <c r="M68">
        <v>3.08479265841289E-3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5">
      <c r="A69" s="1">
        <v>67</v>
      </c>
      <c r="B69" t="s">
        <v>153</v>
      </c>
      <c r="C69">
        <v>1</v>
      </c>
      <c r="D69" t="s">
        <v>245</v>
      </c>
      <c r="E69">
        <v>34</v>
      </c>
      <c r="F69">
        <v>23</v>
      </c>
      <c r="G69">
        <v>1000</v>
      </c>
      <c r="H69">
        <v>50</v>
      </c>
      <c r="I69">
        <v>380</v>
      </c>
      <c r="J69">
        <v>380</v>
      </c>
      <c r="K69">
        <v>1.0595567867036011E-2</v>
      </c>
      <c r="L69">
        <v>0.11444598337950139</v>
      </c>
      <c r="M69">
        <v>2.7354852544455483E-2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5">
      <c r="A70" s="1">
        <v>68</v>
      </c>
      <c r="B70" t="s">
        <v>154</v>
      </c>
      <c r="C70">
        <v>1</v>
      </c>
      <c r="D70" t="s">
        <v>246</v>
      </c>
      <c r="E70">
        <v>34</v>
      </c>
      <c r="F70">
        <v>23</v>
      </c>
      <c r="G70">
        <v>1000</v>
      </c>
      <c r="H70">
        <v>50</v>
      </c>
      <c r="I70">
        <v>380</v>
      </c>
      <c r="J70">
        <v>380</v>
      </c>
      <c r="K70">
        <v>1.0595567867036011E-2</v>
      </c>
      <c r="L70">
        <v>0.11444598337950139</v>
      </c>
      <c r="M70">
        <v>2.7354852544455483E-2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5">
      <c r="A71" s="1">
        <v>69</v>
      </c>
      <c r="B71" s="25" t="s">
        <v>155</v>
      </c>
      <c r="C71" s="25">
        <v>1</v>
      </c>
      <c r="D71" s="25" t="s">
        <v>247</v>
      </c>
      <c r="E71" s="25">
        <v>36</v>
      </c>
      <c r="F71" s="25">
        <v>21</v>
      </c>
      <c r="G71" s="25">
        <v>1000</v>
      </c>
      <c r="H71" s="25">
        <v>50</v>
      </c>
      <c r="I71" s="25">
        <v>380</v>
      </c>
      <c r="J71" s="25">
        <v>380</v>
      </c>
      <c r="K71" s="25">
        <f t="shared" ref="K71:K76" si="0">L71*0.03</f>
        <v>8.9999999999999998E-4</v>
      </c>
      <c r="L71" s="25">
        <v>0.03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1</v>
      </c>
      <c r="U71" s="25">
        <v>0</v>
      </c>
    </row>
    <row r="72" spans="1:21" x14ac:dyDescent="0.25">
      <c r="A72" s="1">
        <v>70</v>
      </c>
      <c r="B72" s="25" t="s">
        <v>156</v>
      </c>
      <c r="C72" s="25">
        <v>1</v>
      </c>
      <c r="D72" s="25" t="s">
        <v>248</v>
      </c>
      <c r="E72" s="25">
        <v>36</v>
      </c>
      <c r="F72" s="25">
        <v>21</v>
      </c>
      <c r="G72" s="25">
        <v>1000</v>
      </c>
      <c r="H72" s="25">
        <v>50</v>
      </c>
      <c r="I72" s="25">
        <v>380</v>
      </c>
      <c r="J72" s="25">
        <v>380</v>
      </c>
      <c r="K72" s="25">
        <f t="shared" si="0"/>
        <v>8.9999999999999998E-4</v>
      </c>
      <c r="L72" s="25">
        <v>0.03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1</v>
      </c>
      <c r="U72" s="25">
        <v>0</v>
      </c>
    </row>
    <row r="73" spans="1:21" x14ac:dyDescent="0.25">
      <c r="A73" s="1">
        <v>71</v>
      </c>
      <c r="B73" s="25" t="s">
        <v>157</v>
      </c>
      <c r="C73" s="25">
        <v>1</v>
      </c>
      <c r="D73" s="25" t="s">
        <v>249</v>
      </c>
      <c r="E73" s="25">
        <v>37</v>
      </c>
      <c r="F73" s="25">
        <v>18</v>
      </c>
      <c r="G73" s="25">
        <v>1000</v>
      </c>
      <c r="H73" s="25">
        <v>50</v>
      </c>
      <c r="I73" s="25">
        <v>380</v>
      </c>
      <c r="J73" s="25">
        <v>380</v>
      </c>
      <c r="K73" s="25">
        <f t="shared" si="0"/>
        <v>8.9999999999999998E-4</v>
      </c>
      <c r="L73" s="25">
        <v>0.03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1</v>
      </c>
      <c r="U73" s="25">
        <v>0</v>
      </c>
    </row>
    <row r="74" spans="1:21" x14ac:dyDescent="0.25">
      <c r="A74" s="1">
        <v>72</v>
      </c>
      <c r="B74" s="25" t="s">
        <v>158</v>
      </c>
      <c r="C74" s="25">
        <v>1</v>
      </c>
      <c r="D74" s="25" t="s">
        <v>250</v>
      </c>
      <c r="E74" s="25">
        <v>37</v>
      </c>
      <c r="F74" s="25">
        <v>18</v>
      </c>
      <c r="G74" s="25">
        <v>1000</v>
      </c>
      <c r="H74" s="25">
        <v>50</v>
      </c>
      <c r="I74" s="25">
        <v>380</v>
      </c>
      <c r="J74" s="25">
        <v>380</v>
      </c>
      <c r="K74" s="25">
        <f t="shared" si="0"/>
        <v>8.9999999999999998E-4</v>
      </c>
      <c r="L74" s="25">
        <v>0.03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1</v>
      </c>
      <c r="U74" s="25">
        <v>0</v>
      </c>
    </row>
    <row r="75" spans="1:21" x14ac:dyDescent="0.25">
      <c r="A75" s="1">
        <v>73</v>
      </c>
      <c r="B75" s="25" t="s">
        <v>159</v>
      </c>
      <c r="C75" s="25">
        <v>1</v>
      </c>
      <c r="D75" s="25" t="s">
        <v>251</v>
      </c>
      <c r="E75" s="25">
        <v>35</v>
      </c>
      <c r="F75" s="25">
        <v>28</v>
      </c>
      <c r="G75" s="25">
        <v>1000</v>
      </c>
      <c r="H75" s="25">
        <v>50</v>
      </c>
      <c r="I75" s="25">
        <v>380</v>
      </c>
      <c r="J75" s="25">
        <v>380</v>
      </c>
      <c r="K75" s="25">
        <f t="shared" si="0"/>
        <v>8.9999999999999998E-4</v>
      </c>
      <c r="L75" s="25">
        <v>0.03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1</v>
      </c>
      <c r="U75" s="25">
        <v>0</v>
      </c>
    </row>
    <row r="76" spans="1:21" x14ac:dyDescent="0.25">
      <c r="A76" s="1">
        <v>74</v>
      </c>
      <c r="B76" s="25" t="s">
        <v>160</v>
      </c>
      <c r="C76" s="25">
        <v>1</v>
      </c>
      <c r="D76" s="25" t="s">
        <v>252</v>
      </c>
      <c r="E76" s="25">
        <v>35</v>
      </c>
      <c r="F76" s="25">
        <v>28</v>
      </c>
      <c r="G76" s="25">
        <v>1000</v>
      </c>
      <c r="H76" s="25">
        <v>50</v>
      </c>
      <c r="I76" s="25">
        <v>380</v>
      </c>
      <c r="J76" s="25">
        <v>380</v>
      </c>
      <c r="K76" s="25">
        <f t="shared" si="0"/>
        <v>8.9999999999999998E-4</v>
      </c>
      <c r="L76" s="25">
        <v>0.03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1</v>
      </c>
      <c r="U76" s="25">
        <v>0</v>
      </c>
    </row>
    <row r="77" spans="1:21" x14ac:dyDescent="0.25">
      <c r="A77" s="11">
        <v>75</v>
      </c>
      <c r="B77" t="s">
        <v>161</v>
      </c>
      <c r="C77">
        <v>1</v>
      </c>
      <c r="D77" t="s">
        <v>277</v>
      </c>
      <c r="E77">
        <v>45</v>
      </c>
      <c r="F77">
        <v>21</v>
      </c>
      <c r="G77">
        <v>1000</v>
      </c>
      <c r="H77">
        <v>50</v>
      </c>
      <c r="I77">
        <v>380</v>
      </c>
      <c r="J77">
        <v>380</v>
      </c>
      <c r="K77">
        <v>5.581717451523545E-3</v>
      </c>
      <c r="L77">
        <v>7.5353185595567876E-2</v>
      </c>
      <c r="M77">
        <v>1.8281932960888155E-2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5">
      <c r="A78" s="11">
        <v>76</v>
      </c>
      <c r="B78" t="s">
        <v>162</v>
      </c>
      <c r="C78">
        <v>1</v>
      </c>
      <c r="D78" t="s">
        <v>278</v>
      </c>
      <c r="E78">
        <v>45</v>
      </c>
      <c r="F78">
        <v>21</v>
      </c>
      <c r="G78">
        <v>1000</v>
      </c>
      <c r="H78">
        <v>50</v>
      </c>
      <c r="I78">
        <v>380</v>
      </c>
      <c r="J78">
        <v>380</v>
      </c>
      <c r="K78">
        <v>5.581717451523545E-3</v>
      </c>
      <c r="L78">
        <v>7.5353185595567876E-2</v>
      </c>
      <c r="M78">
        <v>1.8281932960888155E-2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5">
      <c r="A79" s="11">
        <v>77</v>
      </c>
      <c r="B79" t="s">
        <v>163</v>
      </c>
      <c r="C79">
        <v>1</v>
      </c>
      <c r="D79" t="s">
        <v>279</v>
      </c>
      <c r="E79">
        <v>11</v>
      </c>
      <c r="F79">
        <v>30</v>
      </c>
      <c r="G79">
        <v>1000</v>
      </c>
      <c r="H79">
        <v>50</v>
      </c>
      <c r="I79">
        <v>380</v>
      </c>
      <c r="J79">
        <v>380</v>
      </c>
      <c r="K79">
        <v>5.3739612188365652E-3</v>
      </c>
      <c r="L79">
        <v>7.2548476454293617E-2</v>
      </c>
      <c r="M79">
        <v>1.7601463992120606E-2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 s="11">
        <v>78</v>
      </c>
      <c r="B80" t="s">
        <v>164</v>
      </c>
      <c r="C80">
        <v>1</v>
      </c>
      <c r="D80" t="s">
        <v>280</v>
      </c>
      <c r="E80">
        <v>11</v>
      </c>
      <c r="F80">
        <v>30</v>
      </c>
      <c r="G80">
        <v>1000</v>
      </c>
      <c r="H80">
        <v>50</v>
      </c>
      <c r="I80">
        <v>380</v>
      </c>
      <c r="J80">
        <v>380</v>
      </c>
      <c r="K80">
        <v>5.3739612188365652E-3</v>
      </c>
      <c r="L80">
        <v>7.2548476454293617E-2</v>
      </c>
      <c r="M80">
        <v>1.7601463992120606E-2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 s="11">
        <v>79</v>
      </c>
      <c r="B81" t="s">
        <v>165</v>
      </c>
      <c r="C81">
        <v>1</v>
      </c>
      <c r="D81" t="s">
        <v>281</v>
      </c>
      <c r="E81">
        <v>24</v>
      </c>
      <c r="F81">
        <v>15</v>
      </c>
      <c r="G81">
        <v>1000</v>
      </c>
      <c r="H81">
        <v>50</v>
      </c>
      <c r="I81">
        <v>380</v>
      </c>
      <c r="J81">
        <v>380</v>
      </c>
      <c r="K81">
        <v>9.4182825484764553E-3</v>
      </c>
      <c r="L81">
        <v>0.11013850415512465</v>
      </c>
      <c r="M81">
        <v>2.6356377744283895E-2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5">
      <c r="A82" s="11">
        <v>80</v>
      </c>
      <c r="B82" t="s">
        <v>166</v>
      </c>
      <c r="C82">
        <v>1</v>
      </c>
      <c r="D82" t="s">
        <v>282</v>
      </c>
      <c r="E82">
        <v>15</v>
      </c>
      <c r="F82">
        <v>29</v>
      </c>
      <c r="G82">
        <v>1000</v>
      </c>
      <c r="H82">
        <v>50</v>
      </c>
      <c r="I82">
        <v>380</v>
      </c>
      <c r="J82">
        <v>380</v>
      </c>
      <c r="K82">
        <v>2.5069252077562325E-3</v>
      </c>
      <c r="L82">
        <v>2.9293628808864269E-2</v>
      </c>
      <c r="M82">
        <v>7.0092840242849353E-3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5">
      <c r="A83" s="11">
        <v>81</v>
      </c>
      <c r="B83" t="s">
        <v>167</v>
      </c>
      <c r="C83">
        <v>1</v>
      </c>
      <c r="D83" s="27" t="s">
        <v>490</v>
      </c>
      <c r="E83" s="27">
        <v>30</v>
      </c>
      <c r="F83">
        <v>46</v>
      </c>
      <c r="G83">
        <v>1000</v>
      </c>
      <c r="H83">
        <v>50</v>
      </c>
      <c r="I83">
        <v>380</v>
      </c>
      <c r="J83">
        <v>380</v>
      </c>
      <c r="K83">
        <v>1.0761772853185596E-2</v>
      </c>
      <c r="L83">
        <v>0.14528393351800556</v>
      </c>
      <c r="M83">
        <v>3.5248292582159051E-2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5">
      <c r="A84" s="11">
        <v>82</v>
      </c>
      <c r="B84" t="s">
        <v>168</v>
      </c>
      <c r="C84">
        <v>1</v>
      </c>
      <c r="D84" s="27" t="s">
        <v>491</v>
      </c>
      <c r="E84" s="27">
        <v>30</v>
      </c>
      <c r="F84">
        <v>46</v>
      </c>
      <c r="G84">
        <v>1000</v>
      </c>
      <c r="H84">
        <v>50</v>
      </c>
      <c r="I84">
        <v>380</v>
      </c>
      <c r="J84">
        <v>380</v>
      </c>
      <c r="K84">
        <v>1.0761772853185596E-2</v>
      </c>
      <c r="L84">
        <v>0.14528393351800556</v>
      </c>
      <c r="M84">
        <v>3.5248292582159051E-2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1">
        <v>83</v>
      </c>
      <c r="B85" t="s">
        <v>169</v>
      </c>
      <c r="C85">
        <v>1</v>
      </c>
      <c r="D85" s="27" t="s">
        <v>492</v>
      </c>
      <c r="E85">
        <v>22</v>
      </c>
      <c r="F85" s="27">
        <v>50</v>
      </c>
      <c r="G85">
        <v>1000</v>
      </c>
      <c r="H85">
        <v>50</v>
      </c>
      <c r="I85">
        <v>380</v>
      </c>
      <c r="J85">
        <v>380</v>
      </c>
      <c r="K85">
        <v>8.0158600836456474E-3</v>
      </c>
      <c r="L85">
        <v>9.0599471783173097E-2</v>
      </c>
      <c r="M85">
        <v>2.1366725619301048E-2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5">
      <c r="A86" s="11">
        <v>84</v>
      </c>
      <c r="B86" t="s">
        <v>170</v>
      </c>
      <c r="C86">
        <v>1</v>
      </c>
      <c r="D86" s="27" t="s">
        <v>493</v>
      </c>
      <c r="E86">
        <v>22</v>
      </c>
      <c r="F86" s="27">
        <v>50</v>
      </c>
      <c r="G86">
        <v>1000</v>
      </c>
      <c r="H86">
        <v>50</v>
      </c>
      <c r="I86">
        <v>380</v>
      </c>
      <c r="J86">
        <v>380</v>
      </c>
      <c r="K86">
        <v>8.0158600836456474E-3</v>
      </c>
      <c r="L86">
        <v>9.0599471783173097E-2</v>
      </c>
      <c r="M86">
        <v>2.1366725619301048E-2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5">
      <c r="A87" s="11">
        <v>85</v>
      </c>
      <c r="B87" t="s">
        <v>171</v>
      </c>
      <c r="C87">
        <v>1</v>
      </c>
      <c r="D87" s="27" t="s">
        <v>283</v>
      </c>
      <c r="E87">
        <v>50</v>
      </c>
      <c r="F87">
        <v>30</v>
      </c>
      <c r="G87">
        <v>1000</v>
      </c>
      <c r="H87">
        <v>50</v>
      </c>
      <c r="I87">
        <v>380</v>
      </c>
      <c r="J87">
        <v>380</v>
      </c>
      <c r="K87">
        <v>2.2464830807669323E-3</v>
      </c>
      <c r="L87">
        <v>2.5390934767258701E-2</v>
      </c>
      <c r="M87">
        <v>5.9881269251544338E-3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5">
      <c r="A88" s="11">
        <v>86</v>
      </c>
      <c r="B88" t="s">
        <v>172</v>
      </c>
      <c r="C88">
        <v>1</v>
      </c>
      <c r="D88" s="27" t="s">
        <v>284</v>
      </c>
      <c r="E88">
        <v>50</v>
      </c>
      <c r="F88">
        <v>30</v>
      </c>
      <c r="G88">
        <v>1000</v>
      </c>
      <c r="H88">
        <v>50</v>
      </c>
      <c r="I88">
        <v>380</v>
      </c>
      <c r="J88">
        <v>380</v>
      </c>
      <c r="K88">
        <v>2.2464830807669323E-3</v>
      </c>
      <c r="L88">
        <v>2.5390934767258701E-2</v>
      </c>
      <c r="M88">
        <v>5.9881269251544338E-3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5">
      <c r="A89" s="11">
        <v>87</v>
      </c>
      <c r="B89" t="s">
        <v>173</v>
      </c>
      <c r="C89">
        <v>1</v>
      </c>
      <c r="D89" t="s">
        <v>285</v>
      </c>
      <c r="E89">
        <v>22</v>
      </c>
      <c r="F89">
        <v>46</v>
      </c>
      <c r="G89">
        <v>1000</v>
      </c>
      <c r="H89">
        <v>50</v>
      </c>
      <c r="I89">
        <v>380</v>
      </c>
      <c r="J89">
        <v>380</v>
      </c>
      <c r="K89">
        <v>3.457076716996345E-3</v>
      </c>
      <c r="L89">
        <v>4.4744450079981291E-2</v>
      </c>
      <c r="M89">
        <v>9.8441177481705441E-3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5">
      <c r="A90" s="11">
        <v>88</v>
      </c>
      <c r="B90" t="s">
        <v>174</v>
      </c>
      <c r="C90">
        <v>1</v>
      </c>
      <c r="D90" t="s">
        <v>286</v>
      </c>
      <c r="E90">
        <v>22</v>
      </c>
      <c r="F90">
        <v>46</v>
      </c>
      <c r="G90">
        <v>1000</v>
      </c>
      <c r="H90">
        <v>50</v>
      </c>
      <c r="I90">
        <v>380</v>
      </c>
      <c r="J90">
        <v>380</v>
      </c>
      <c r="K90">
        <v>3.457076716996345E-3</v>
      </c>
      <c r="L90">
        <v>4.4744450079981291E-2</v>
      </c>
      <c r="M90">
        <v>9.8441177481705441E-3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1">
        <v>89</v>
      </c>
      <c r="B91" t="s">
        <v>175</v>
      </c>
      <c r="C91">
        <v>1</v>
      </c>
      <c r="D91" t="s">
        <v>287</v>
      </c>
      <c r="E91">
        <v>22</v>
      </c>
      <c r="F91">
        <v>46</v>
      </c>
      <c r="G91">
        <v>1000</v>
      </c>
      <c r="H91">
        <v>50</v>
      </c>
      <c r="I91">
        <v>380</v>
      </c>
      <c r="J91">
        <v>380</v>
      </c>
      <c r="K91">
        <v>3.457076716996345E-3</v>
      </c>
      <c r="L91">
        <v>4.4744450079981291E-2</v>
      </c>
      <c r="M91">
        <v>9.8441177481705441E-3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 s="11">
        <v>90</v>
      </c>
      <c r="B92" t="s">
        <v>176</v>
      </c>
      <c r="C92">
        <v>1</v>
      </c>
      <c r="D92" t="s">
        <v>288</v>
      </c>
      <c r="E92">
        <v>46</v>
      </c>
      <c r="F92">
        <v>19</v>
      </c>
      <c r="G92">
        <v>1000</v>
      </c>
      <c r="H92">
        <v>50</v>
      </c>
      <c r="I92">
        <v>380</v>
      </c>
      <c r="J92">
        <v>380</v>
      </c>
      <c r="K92">
        <v>6.9300846631032724E-3</v>
      </c>
      <c r="L92">
        <v>8.9695095782450968E-2</v>
      </c>
      <c r="M92">
        <v>1.9733600094258924E-2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s="11">
        <v>91</v>
      </c>
      <c r="B93" t="s">
        <v>177</v>
      </c>
      <c r="C93">
        <v>1</v>
      </c>
      <c r="D93" t="s">
        <v>289</v>
      </c>
      <c r="E93">
        <v>46</v>
      </c>
      <c r="F93">
        <v>19</v>
      </c>
      <c r="G93">
        <v>1000</v>
      </c>
      <c r="H93">
        <v>50</v>
      </c>
      <c r="I93">
        <v>380</v>
      </c>
      <c r="J93">
        <v>380</v>
      </c>
      <c r="K93">
        <v>6.9300846631032724E-3</v>
      </c>
      <c r="L93">
        <v>8.9695095782450968E-2</v>
      </c>
      <c r="M93">
        <v>1.9733600094258924E-2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5">
      <c r="A94" s="11">
        <v>92</v>
      </c>
      <c r="B94" t="s">
        <v>266</v>
      </c>
      <c r="C94">
        <v>1</v>
      </c>
      <c r="D94" t="s">
        <v>290</v>
      </c>
      <c r="E94">
        <v>46</v>
      </c>
      <c r="F94">
        <v>19</v>
      </c>
      <c r="G94">
        <v>1000</v>
      </c>
      <c r="H94">
        <v>50</v>
      </c>
      <c r="I94">
        <v>380</v>
      </c>
      <c r="J94">
        <v>380</v>
      </c>
      <c r="K94">
        <v>6.9300846631032724E-3</v>
      </c>
      <c r="L94">
        <v>8.9695095782450968E-2</v>
      </c>
      <c r="M94">
        <v>1.9733600094258924E-2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5">
      <c r="A95" s="11">
        <v>93</v>
      </c>
      <c r="B95" t="s">
        <v>267</v>
      </c>
      <c r="C95">
        <v>1</v>
      </c>
      <c r="D95" t="s">
        <v>291</v>
      </c>
      <c r="E95">
        <v>32</v>
      </c>
      <c r="F95">
        <v>51</v>
      </c>
      <c r="G95">
        <v>1000</v>
      </c>
      <c r="H95">
        <v>50</v>
      </c>
      <c r="I95">
        <v>380</v>
      </c>
      <c r="J95">
        <v>380</v>
      </c>
      <c r="K95">
        <v>9.120856534858147E-4</v>
      </c>
      <c r="L95">
        <v>3.6687806536701971E-2</v>
      </c>
      <c r="M95">
        <v>4.0828138126052949E-3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5">
      <c r="A96" s="11">
        <v>94</v>
      </c>
      <c r="B96" t="s">
        <v>268</v>
      </c>
      <c r="C96">
        <v>1</v>
      </c>
      <c r="D96" t="s">
        <v>292</v>
      </c>
      <c r="E96">
        <v>32</v>
      </c>
      <c r="F96">
        <v>51</v>
      </c>
      <c r="G96">
        <v>1000</v>
      </c>
      <c r="H96">
        <v>50</v>
      </c>
      <c r="I96">
        <v>380</v>
      </c>
      <c r="J96">
        <v>380</v>
      </c>
      <c r="K96">
        <v>9.120856534858147E-4</v>
      </c>
      <c r="L96">
        <v>3.6687806536701971E-2</v>
      </c>
      <c r="M96">
        <v>4.0828138126052949E-3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5">
      <c r="A97" s="11">
        <v>95</v>
      </c>
      <c r="B97" t="s">
        <v>319</v>
      </c>
      <c r="C97">
        <v>1</v>
      </c>
      <c r="D97" t="s">
        <v>293</v>
      </c>
      <c r="E97">
        <v>51</v>
      </c>
      <c r="F97">
        <v>28</v>
      </c>
      <c r="G97">
        <v>1000</v>
      </c>
      <c r="H97">
        <v>50</v>
      </c>
      <c r="I97">
        <v>380</v>
      </c>
      <c r="J97">
        <v>380</v>
      </c>
      <c r="K97">
        <v>1.1553084944153653E-3</v>
      </c>
      <c r="L97">
        <v>4.6471221613155839E-2</v>
      </c>
      <c r="M97">
        <v>5.1715641626333738E-3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5">
      <c r="A98" s="11">
        <v>96</v>
      </c>
      <c r="B98" t="s">
        <v>320</v>
      </c>
      <c r="C98">
        <v>1</v>
      </c>
      <c r="D98" t="s">
        <v>294</v>
      </c>
      <c r="E98">
        <v>51</v>
      </c>
      <c r="F98">
        <v>28</v>
      </c>
      <c r="G98">
        <v>1000</v>
      </c>
      <c r="H98">
        <v>50</v>
      </c>
      <c r="I98">
        <v>380</v>
      </c>
      <c r="J98">
        <v>380</v>
      </c>
      <c r="K98">
        <v>1.1553084944153653E-3</v>
      </c>
      <c r="L98">
        <v>4.6471221613155839E-2</v>
      </c>
      <c r="M98">
        <v>5.1715641626333738E-3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5">
      <c r="A99" s="11">
        <v>97</v>
      </c>
      <c r="B99" t="s">
        <v>321</v>
      </c>
      <c r="C99">
        <v>1</v>
      </c>
      <c r="D99" t="s">
        <v>295</v>
      </c>
      <c r="E99">
        <v>26</v>
      </c>
      <c r="F99">
        <v>48</v>
      </c>
      <c r="G99">
        <v>1000</v>
      </c>
      <c r="H99">
        <v>50</v>
      </c>
      <c r="I99">
        <v>380</v>
      </c>
      <c r="J99">
        <v>380</v>
      </c>
      <c r="K99">
        <v>1.3365650969529085E-2</v>
      </c>
      <c r="L99">
        <v>0.15743882733148667</v>
      </c>
      <c r="M99">
        <v>3.7652616271804398E-2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 s="11">
        <v>98</v>
      </c>
      <c r="B100" t="s">
        <v>322</v>
      </c>
      <c r="C100">
        <v>1</v>
      </c>
      <c r="D100" t="s">
        <v>296</v>
      </c>
      <c r="E100">
        <v>26</v>
      </c>
      <c r="F100">
        <v>48</v>
      </c>
      <c r="G100">
        <v>1000</v>
      </c>
      <c r="H100">
        <v>50</v>
      </c>
      <c r="I100">
        <v>380</v>
      </c>
      <c r="J100">
        <v>380</v>
      </c>
      <c r="K100">
        <v>1.3365650969529085E-2</v>
      </c>
      <c r="L100">
        <v>0.15743882733148667</v>
      </c>
      <c r="M100">
        <v>3.7652616271804398E-2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5">
      <c r="A101" s="11">
        <v>99</v>
      </c>
      <c r="B101" t="s">
        <v>323</v>
      </c>
      <c r="C101">
        <v>1</v>
      </c>
      <c r="D101" t="s">
        <v>297</v>
      </c>
      <c r="E101">
        <v>48</v>
      </c>
      <c r="F101">
        <v>16</v>
      </c>
      <c r="G101">
        <v>1000</v>
      </c>
      <c r="H101">
        <v>50</v>
      </c>
      <c r="I101">
        <v>380</v>
      </c>
      <c r="J101">
        <v>380</v>
      </c>
      <c r="K101">
        <v>2.7375429696625837E-3</v>
      </c>
      <c r="L101">
        <v>3.2246506802834619E-2</v>
      </c>
      <c r="M101">
        <v>7.7119816460322248E-3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5">
      <c r="A102" s="11">
        <v>100</v>
      </c>
      <c r="B102" t="s">
        <v>324</v>
      </c>
      <c r="C102">
        <v>1</v>
      </c>
      <c r="D102" t="s">
        <v>298</v>
      </c>
      <c r="E102">
        <v>48</v>
      </c>
      <c r="F102">
        <v>16</v>
      </c>
      <c r="G102">
        <v>1000</v>
      </c>
      <c r="H102">
        <v>50</v>
      </c>
      <c r="I102">
        <v>380</v>
      </c>
      <c r="J102">
        <v>380</v>
      </c>
      <c r="K102">
        <v>2.7375429696625837E-3</v>
      </c>
      <c r="L102">
        <v>3.2246506802834619E-2</v>
      </c>
      <c r="M102">
        <v>7.7119816460322248E-3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5">
      <c r="A103" s="11">
        <v>101</v>
      </c>
      <c r="B103" t="s">
        <v>325</v>
      </c>
      <c r="C103">
        <v>1</v>
      </c>
      <c r="D103" t="s">
        <v>299</v>
      </c>
      <c r="E103">
        <v>15</v>
      </c>
      <c r="F103">
        <v>49</v>
      </c>
      <c r="G103">
        <v>1000</v>
      </c>
      <c r="H103">
        <v>50</v>
      </c>
      <c r="I103">
        <v>380</v>
      </c>
      <c r="J103">
        <v>380</v>
      </c>
      <c r="K103">
        <v>2.8947368421052629E-3</v>
      </c>
      <c r="L103">
        <v>3.9078947368421046E-2</v>
      </c>
      <c r="M103">
        <v>9.4812009648278534E-3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5">
      <c r="A104" s="11">
        <v>102</v>
      </c>
      <c r="B104" t="s">
        <v>326</v>
      </c>
      <c r="C104">
        <v>1</v>
      </c>
      <c r="D104" t="s">
        <v>300</v>
      </c>
      <c r="E104">
        <v>15</v>
      </c>
      <c r="F104">
        <v>49</v>
      </c>
      <c r="G104">
        <v>1000</v>
      </c>
      <c r="H104">
        <v>50</v>
      </c>
      <c r="I104">
        <v>380</v>
      </c>
      <c r="J104">
        <v>380</v>
      </c>
      <c r="K104">
        <v>2.8947368421052629E-3</v>
      </c>
      <c r="L104">
        <v>3.9078947368421046E-2</v>
      </c>
      <c r="M104">
        <v>9.4812009648278534E-3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5">
      <c r="A105" s="11">
        <v>103</v>
      </c>
      <c r="B105" t="s">
        <v>327</v>
      </c>
      <c r="C105">
        <v>1</v>
      </c>
      <c r="D105" t="s">
        <v>301</v>
      </c>
      <c r="E105">
        <v>15</v>
      </c>
      <c r="F105">
        <v>49</v>
      </c>
      <c r="G105">
        <v>1000</v>
      </c>
      <c r="H105">
        <v>50</v>
      </c>
      <c r="I105">
        <v>380</v>
      </c>
      <c r="J105">
        <v>380</v>
      </c>
      <c r="K105">
        <v>3.388680033416875E-3</v>
      </c>
      <c r="L105">
        <v>3.9383354218880534E-2</v>
      </c>
      <c r="M105">
        <v>9.4812009648278534E-3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5">
      <c r="A106" s="11">
        <v>104</v>
      </c>
      <c r="B106" t="s">
        <v>328</v>
      </c>
      <c r="C106">
        <v>1</v>
      </c>
      <c r="D106" t="s">
        <v>302</v>
      </c>
      <c r="E106">
        <v>15</v>
      </c>
      <c r="F106">
        <v>49</v>
      </c>
      <c r="G106">
        <v>1000</v>
      </c>
      <c r="H106">
        <v>50</v>
      </c>
      <c r="I106">
        <v>380</v>
      </c>
      <c r="J106">
        <v>380</v>
      </c>
      <c r="K106">
        <v>3.388680033416875E-3</v>
      </c>
      <c r="L106">
        <v>3.9383354218880534E-2</v>
      </c>
      <c r="M106">
        <v>9.4812009648278534E-3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5">
      <c r="A107" s="11">
        <v>105</v>
      </c>
      <c r="B107" t="s">
        <v>329</v>
      </c>
      <c r="C107">
        <v>1</v>
      </c>
      <c r="D107" t="s">
        <v>303</v>
      </c>
      <c r="E107">
        <v>49</v>
      </c>
      <c r="F107">
        <v>25</v>
      </c>
      <c r="G107">
        <v>1000</v>
      </c>
      <c r="H107">
        <v>50</v>
      </c>
      <c r="I107">
        <v>380</v>
      </c>
      <c r="J107">
        <v>380</v>
      </c>
      <c r="K107">
        <v>4.7506925207756231E-3</v>
      </c>
      <c r="L107">
        <v>6.4134349030470911E-2</v>
      </c>
      <c r="M107">
        <v>1.5560057085817961E-2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5">
      <c r="A108" s="11">
        <v>106</v>
      </c>
      <c r="B108" t="s">
        <v>330</v>
      </c>
      <c r="C108">
        <v>1</v>
      </c>
      <c r="D108" t="s">
        <v>304</v>
      </c>
      <c r="E108">
        <v>49</v>
      </c>
      <c r="F108">
        <v>25</v>
      </c>
      <c r="G108">
        <v>1000</v>
      </c>
      <c r="H108">
        <v>50</v>
      </c>
      <c r="I108">
        <v>380</v>
      </c>
      <c r="J108">
        <v>380</v>
      </c>
      <c r="K108">
        <v>4.7506925207756231E-3</v>
      </c>
      <c r="L108">
        <v>6.4134349030470911E-2</v>
      </c>
      <c r="M108">
        <v>1.5560057085817961E-2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5">
      <c r="A109" s="11">
        <v>107</v>
      </c>
      <c r="B109" t="s">
        <v>331</v>
      </c>
      <c r="C109">
        <v>1</v>
      </c>
      <c r="D109" t="s">
        <v>305</v>
      </c>
      <c r="E109">
        <v>49</v>
      </c>
      <c r="F109">
        <v>25</v>
      </c>
      <c r="G109">
        <v>1000</v>
      </c>
      <c r="H109">
        <v>50</v>
      </c>
      <c r="I109">
        <v>380</v>
      </c>
      <c r="J109">
        <v>380</v>
      </c>
      <c r="K109">
        <v>5.5613265620190824E-3</v>
      </c>
      <c r="L109">
        <v>6.463392582333026E-2</v>
      </c>
      <c r="M109">
        <v>1.5560057085817961E-2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5">
      <c r="A110" s="11">
        <v>108</v>
      </c>
      <c r="B110" t="s">
        <v>332</v>
      </c>
      <c r="C110">
        <v>1</v>
      </c>
      <c r="D110" t="s">
        <v>306</v>
      </c>
      <c r="E110">
        <v>49</v>
      </c>
      <c r="F110">
        <v>25</v>
      </c>
      <c r="G110">
        <v>1000</v>
      </c>
      <c r="H110">
        <v>50</v>
      </c>
      <c r="I110">
        <v>380</v>
      </c>
      <c r="J110">
        <v>380</v>
      </c>
      <c r="K110">
        <v>5.5613265620190824E-3</v>
      </c>
      <c r="L110">
        <v>6.463392582333026E-2</v>
      </c>
      <c r="M110">
        <v>1.5560057085817961E-2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5">
      <c r="A111" s="11">
        <v>109</v>
      </c>
      <c r="B111" t="s">
        <v>333</v>
      </c>
      <c r="C111">
        <v>1</v>
      </c>
      <c r="D111" t="s">
        <v>307</v>
      </c>
      <c r="E111">
        <v>20</v>
      </c>
      <c r="F111">
        <v>45</v>
      </c>
      <c r="G111">
        <v>1000</v>
      </c>
      <c r="H111">
        <v>50</v>
      </c>
      <c r="I111">
        <v>380</v>
      </c>
      <c r="J111">
        <v>380</v>
      </c>
      <c r="K111">
        <v>1.3850415512465374E-2</v>
      </c>
      <c r="L111">
        <v>0.18698060941828254</v>
      </c>
      <c r="M111">
        <v>4.5364597917836612E-2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5">
      <c r="A112" s="11">
        <v>110</v>
      </c>
      <c r="B112" t="s">
        <v>334</v>
      </c>
      <c r="C112">
        <v>1</v>
      </c>
      <c r="D112" t="s">
        <v>308</v>
      </c>
      <c r="E112">
        <v>20</v>
      </c>
      <c r="F112">
        <v>45</v>
      </c>
      <c r="G112">
        <v>1000</v>
      </c>
      <c r="H112">
        <v>50</v>
      </c>
      <c r="I112">
        <v>380</v>
      </c>
      <c r="J112">
        <v>380</v>
      </c>
      <c r="K112">
        <v>1.3850415512465374E-2</v>
      </c>
      <c r="L112">
        <v>0.18698060941828254</v>
      </c>
      <c r="M112">
        <v>4.5364597917836612E-2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5">
      <c r="A113" s="11">
        <v>111</v>
      </c>
      <c r="B113" t="s">
        <v>335</v>
      </c>
      <c r="C113">
        <v>1</v>
      </c>
      <c r="D113" t="s">
        <v>309</v>
      </c>
      <c r="E113">
        <v>34</v>
      </c>
      <c r="F113">
        <v>52</v>
      </c>
      <c r="G113">
        <v>1000</v>
      </c>
      <c r="H113">
        <v>50</v>
      </c>
      <c r="I113">
        <v>380</v>
      </c>
      <c r="J113">
        <v>380</v>
      </c>
      <c r="K113">
        <v>5.2989210038082218E-3</v>
      </c>
      <c r="L113">
        <v>9.0729420954984874E-2</v>
      </c>
      <c r="M113">
        <v>2.4995893452727971E-2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5">
      <c r="A114" s="11">
        <v>112</v>
      </c>
      <c r="B114" t="s">
        <v>336</v>
      </c>
      <c r="C114">
        <v>1</v>
      </c>
      <c r="D114" t="s">
        <v>310</v>
      </c>
      <c r="E114">
        <v>34</v>
      </c>
      <c r="F114">
        <v>52</v>
      </c>
      <c r="G114">
        <v>1000</v>
      </c>
      <c r="H114">
        <v>50</v>
      </c>
      <c r="I114">
        <v>380</v>
      </c>
      <c r="J114">
        <v>380</v>
      </c>
      <c r="K114">
        <v>5.2989210038082218E-3</v>
      </c>
      <c r="L114">
        <v>9.0729420954984874E-2</v>
      </c>
      <c r="M114">
        <v>2.4995893452727971E-2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5">
      <c r="A115" s="11">
        <v>113</v>
      </c>
      <c r="B115" t="s">
        <v>337</v>
      </c>
      <c r="C115">
        <v>1</v>
      </c>
      <c r="D115" t="s">
        <v>311</v>
      </c>
      <c r="E115">
        <v>52</v>
      </c>
      <c r="F115">
        <v>47</v>
      </c>
      <c r="G115">
        <v>1000</v>
      </c>
      <c r="H115">
        <v>50</v>
      </c>
      <c r="I115">
        <v>380</v>
      </c>
      <c r="J115">
        <v>380</v>
      </c>
      <c r="K115">
        <v>2.8081396245226873E-3</v>
      </c>
      <c r="L115">
        <v>4.8081653210264211E-2</v>
      </c>
      <c r="M115">
        <v>1.3246462592008294E-2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5">
      <c r="A116" s="11">
        <v>114</v>
      </c>
      <c r="B116" t="s">
        <v>338</v>
      </c>
      <c r="C116">
        <v>1</v>
      </c>
      <c r="D116" t="s">
        <v>312</v>
      </c>
      <c r="E116">
        <v>52</v>
      </c>
      <c r="F116">
        <v>47</v>
      </c>
      <c r="G116">
        <v>1000</v>
      </c>
      <c r="H116">
        <v>50</v>
      </c>
      <c r="I116">
        <v>380</v>
      </c>
      <c r="J116">
        <v>380</v>
      </c>
      <c r="K116">
        <v>2.8081396245226873E-3</v>
      </c>
      <c r="L116">
        <v>4.8081653210264211E-2</v>
      </c>
      <c r="M116">
        <v>1.3246462592008294E-2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5">
      <c r="A117" s="11">
        <v>115</v>
      </c>
      <c r="B117" t="s">
        <v>339</v>
      </c>
      <c r="C117">
        <v>1</v>
      </c>
      <c r="D117" t="s">
        <v>313</v>
      </c>
      <c r="E117">
        <v>47</v>
      </c>
      <c r="F117">
        <v>27</v>
      </c>
      <c r="G117">
        <v>1000</v>
      </c>
      <c r="H117">
        <v>50</v>
      </c>
      <c r="I117">
        <v>380</v>
      </c>
      <c r="J117">
        <v>380</v>
      </c>
      <c r="K117">
        <v>2.3657614644951412E-3</v>
      </c>
      <c r="L117">
        <v>4.050714619768836E-2</v>
      </c>
      <c r="M117">
        <v>1.1159691087787808E-2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5">
      <c r="A118" s="11">
        <v>116</v>
      </c>
      <c r="B118" t="s">
        <v>340</v>
      </c>
      <c r="C118">
        <v>1</v>
      </c>
      <c r="D118" t="s">
        <v>314</v>
      </c>
      <c r="E118">
        <v>47</v>
      </c>
      <c r="F118">
        <v>27</v>
      </c>
      <c r="G118">
        <v>1000</v>
      </c>
      <c r="H118">
        <v>50</v>
      </c>
      <c r="I118">
        <v>380</v>
      </c>
      <c r="J118">
        <v>380</v>
      </c>
      <c r="K118">
        <v>2.3657614644951412E-3</v>
      </c>
      <c r="L118">
        <v>4.050714619768836E-2</v>
      </c>
      <c r="M118">
        <v>1.1159691087787808E-2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5">
      <c r="A119" s="11">
        <v>117</v>
      </c>
      <c r="B119" t="s">
        <v>341</v>
      </c>
      <c r="C119">
        <v>1</v>
      </c>
      <c r="D119" t="s">
        <v>315</v>
      </c>
      <c r="E119">
        <v>25</v>
      </c>
      <c r="F119">
        <v>20</v>
      </c>
      <c r="G119">
        <v>1000</v>
      </c>
      <c r="H119">
        <v>50</v>
      </c>
      <c r="I119">
        <v>380</v>
      </c>
      <c r="J119">
        <v>380</v>
      </c>
      <c r="K119">
        <v>2.9085872576177286E-3</v>
      </c>
      <c r="L119">
        <v>3.9265927977839329E-2</v>
      </c>
      <c r="M119">
        <v>9.5265655627456876E-3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5">
      <c r="A120" s="11">
        <v>118</v>
      </c>
      <c r="B120" t="s">
        <v>342</v>
      </c>
      <c r="C120">
        <v>1</v>
      </c>
      <c r="D120" t="s">
        <v>316</v>
      </c>
      <c r="E120">
        <v>25</v>
      </c>
      <c r="F120">
        <v>20</v>
      </c>
      <c r="G120">
        <v>1000</v>
      </c>
      <c r="H120">
        <v>50</v>
      </c>
      <c r="I120">
        <v>380</v>
      </c>
      <c r="J120">
        <v>380</v>
      </c>
      <c r="K120">
        <v>2.9085872576177286E-3</v>
      </c>
      <c r="L120">
        <v>3.9265927977839329E-2</v>
      </c>
      <c r="M120">
        <v>9.5265655627456876E-3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5">
      <c r="A121" s="11">
        <v>119</v>
      </c>
      <c r="B121" t="s">
        <v>343</v>
      </c>
      <c r="C121">
        <v>1</v>
      </c>
      <c r="D121" t="s">
        <v>317</v>
      </c>
      <c r="E121">
        <v>24</v>
      </c>
      <c r="F121">
        <v>22</v>
      </c>
      <c r="G121">
        <v>1000</v>
      </c>
      <c r="H121">
        <v>50</v>
      </c>
      <c r="I121">
        <v>380</v>
      </c>
      <c r="J121">
        <v>380</v>
      </c>
      <c r="K121">
        <v>4.7091412742382276E-3</v>
      </c>
      <c r="L121">
        <v>6.3573407202216062E-2</v>
      </c>
      <c r="M121">
        <v>1.542396329206445E-2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5">
      <c r="A122" s="11">
        <v>120</v>
      </c>
      <c r="B122" t="s">
        <v>344</v>
      </c>
      <c r="C122">
        <v>1</v>
      </c>
      <c r="D122" t="s">
        <v>318</v>
      </c>
      <c r="E122">
        <v>24</v>
      </c>
      <c r="F122">
        <v>22</v>
      </c>
      <c r="G122">
        <v>1000</v>
      </c>
      <c r="H122">
        <v>50</v>
      </c>
      <c r="I122">
        <v>380</v>
      </c>
      <c r="J122">
        <v>380</v>
      </c>
      <c r="K122">
        <v>4.7091412742382276E-3</v>
      </c>
      <c r="L122">
        <v>6.3573407202216062E-2</v>
      </c>
      <c r="M122">
        <v>1.542396329206445E-2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5">
      <c r="A123" s="1">
        <v>121</v>
      </c>
      <c r="B123" t="s">
        <v>345</v>
      </c>
      <c r="C123">
        <v>1</v>
      </c>
      <c r="D123" s="5" t="s">
        <v>263</v>
      </c>
      <c r="E123" s="5">
        <v>18</v>
      </c>
      <c r="F123" s="5">
        <v>0</v>
      </c>
      <c r="G123" s="7">
        <v>2250</v>
      </c>
      <c r="H123">
        <v>50</v>
      </c>
      <c r="I123" s="5">
        <v>380</v>
      </c>
      <c r="J123" s="5">
        <v>220</v>
      </c>
      <c r="K123" s="7">
        <v>5.9999999999999995E-4</v>
      </c>
      <c r="L123" s="7">
        <v>7.9997749968358484E-2</v>
      </c>
      <c r="M123" s="6">
        <v>0</v>
      </c>
      <c r="N123" s="6">
        <v>0</v>
      </c>
      <c r="O123">
        <v>0</v>
      </c>
      <c r="P123">
        <v>0</v>
      </c>
      <c r="Q123">
        <v>0</v>
      </c>
      <c r="R123">
        <v>0</v>
      </c>
      <c r="S123" s="5">
        <v>1</v>
      </c>
      <c r="T123" s="6">
        <f>I123/J123</f>
        <v>1.7272727272727273</v>
      </c>
      <c r="U123" s="5">
        <v>0</v>
      </c>
    </row>
    <row r="124" spans="1:21" x14ac:dyDescent="0.25">
      <c r="A124" s="1">
        <v>122</v>
      </c>
      <c r="B124" t="s">
        <v>346</v>
      </c>
      <c r="C124">
        <v>1</v>
      </c>
      <c r="D124" s="5" t="s">
        <v>264</v>
      </c>
      <c r="E124" s="5">
        <v>20</v>
      </c>
      <c r="F124" s="5">
        <v>1</v>
      </c>
      <c r="G124" s="7">
        <v>1000</v>
      </c>
      <c r="H124">
        <v>50</v>
      </c>
      <c r="I124" s="5">
        <v>380</v>
      </c>
      <c r="J124" s="5">
        <v>220</v>
      </c>
      <c r="K124" s="7">
        <v>5.9999999999999995E-4</v>
      </c>
      <c r="L124" s="7">
        <v>7.9997749968358484E-2</v>
      </c>
      <c r="M124" s="6">
        <v>0</v>
      </c>
      <c r="N124" s="6">
        <v>0</v>
      </c>
      <c r="O124">
        <v>0</v>
      </c>
      <c r="P124">
        <v>0</v>
      </c>
      <c r="Q124">
        <v>0</v>
      </c>
      <c r="R124">
        <v>0</v>
      </c>
      <c r="S124" s="5">
        <v>1</v>
      </c>
      <c r="T124" s="6">
        <f t="shared" ref="T124:T125" si="1">I124/J124</f>
        <v>1.7272727272727273</v>
      </c>
      <c r="U124" s="5">
        <v>0</v>
      </c>
    </row>
    <row r="125" spans="1:21" x14ac:dyDescent="0.25">
      <c r="A125" s="1">
        <v>123</v>
      </c>
      <c r="B125" t="s">
        <v>347</v>
      </c>
      <c r="C125">
        <v>1</v>
      </c>
      <c r="D125" s="5" t="s">
        <v>265</v>
      </c>
      <c r="E125" s="5">
        <v>27</v>
      </c>
      <c r="F125" s="5">
        <v>4</v>
      </c>
      <c r="G125" s="7">
        <v>750</v>
      </c>
      <c r="H125">
        <v>50</v>
      </c>
      <c r="I125" s="5">
        <v>380</v>
      </c>
      <c r="J125" s="5">
        <v>220</v>
      </c>
      <c r="K125" s="7">
        <v>5.9999999999999995E-4</v>
      </c>
      <c r="L125" s="7">
        <v>7.9997749968358484E-2</v>
      </c>
      <c r="M125" s="6">
        <v>0</v>
      </c>
      <c r="N125" s="6">
        <v>0</v>
      </c>
      <c r="O125">
        <v>0</v>
      </c>
      <c r="P125">
        <v>0</v>
      </c>
      <c r="Q125">
        <v>0</v>
      </c>
      <c r="R125">
        <v>0</v>
      </c>
      <c r="S125" s="5">
        <v>1</v>
      </c>
      <c r="T125" s="6">
        <f t="shared" si="1"/>
        <v>1.7272727272727273</v>
      </c>
      <c r="U125" s="5">
        <v>0</v>
      </c>
    </row>
    <row r="126" spans="1:21" x14ac:dyDescent="0.25">
      <c r="A126" s="11">
        <v>124</v>
      </c>
      <c r="B126" t="s">
        <v>348</v>
      </c>
      <c r="C126">
        <v>1</v>
      </c>
      <c r="D126" s="12" t="s">
        <v>349</v>
      </c>
      <c r="E126" s="12">
        <v>45</v>
      </c>
      <c r="F126" s="12">
        <v>7</v>
      </c>
      <c r="G126" s="18">
        <v>5400</v>
      </c>
      <c r="H126">
        <v>50</v>
      </c>
      <c r="I126" s="5">
        <v>380</v>
      </c>
      <c r="J126" s="5">
        <v>220</v>
      </c>
      <c r="K126" s="7">
        <v>5.9999999999999995E-4</v>
      </c>
      <c r="L126" s="7">
        <v>7.9997749968358497E-2</v>
      </c>
      <c r="M126" s="6">
        <v>0</v>
      </c>
      <c r="N126" s="6">
        <v>0</v>
      </c>
      <c r="O126">
        <v>0</v>
      </c>
      <c r="P126">
        <v>0</v>
      </c>
      <c r="Q126">
        <v>0</v>
      </c>
      <c r="R126">
        <v>0</v>
      </c>
      <c r="S126" s="5">
        <v>1</v>
      </c>
      <c r="T126" s="6">
        <f>I126/J126</f>
        <v>1.7272727272727273</v>
      </c>
      <c r="U126" s="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Bus</vt:lpstr>
      <vt:lpstr>PQ</vt:lpstr>
      <vt:lpstr>PV</vt:lpstr>
      <vt:lpstr>Slack</vt:lpstr>
      <vt:lpstr>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</dc:creator>
  <cp:lastModifiedBy>Pieter van Rhee</cp:lastModifiedBy>
  <dcterms:created xsi:type="dcterms:W3CDTF">2020-05-02T03:57:28Z</dcterms:created>
  <dcterms:modified xsi:type="dcterms:W3CDTF">2026-06-03T23:42:33Z</dcterms:modified>
</cp:coreProperties>
</file>