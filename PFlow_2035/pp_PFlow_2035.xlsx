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Modeling_Documentation\pp_andes_2035\"/>
    </mc:Choice>
  </mc:AlternateContent>
  <xr:revisionPtr revIDLastSave="0" documentId="13_ncr:1_{4CEA5D45-77DC-4464-84AB-C08F8588AB8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us" sheetId="1" r:id="rId1"/>
    <sheet name="load" sheetId="13" r:id="rId2"/>
    <sheet name="gen" sheetId="2" r:id="rId3"/>
    <sheet name="ext_grid" sheetId="3" r:id="rId4"/>
    <sheet name="line" sheetId="4" r:id="rId5"/>
    <sheet name="trafo" sheetId="5" r:id="rId6"/>
    <sheet name="bus_geodata" sheetId="6" r:id="rId7"/>
    <sheet name="dtypes" sheetId="14" r:id="rId8"/>
    <sheet name="parameter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2" l="1"/>
  <c r="D109" i="2"/>
  <c r="H36" i="4"/>
  <c r="G36" i="4"/>
  <c r="H35" i="4"/>
  <c r="G35" i="4"/>
  <c r="H44" i="4"/>
  <c r="G44" i="4"/>
  <c r="H43" i="4"/>
  <c r="G43" i="4"/>
  <c r="H57" i="4"/>
  <c r="G57" i="4"/>
  <c r="H56" i="4"/>
  <c r="G56" i="4"/>
  <c r="H55" i="4"/>
  <c r="G55" i="4"/>
  <c r="H54" i="4"/>
  <c r="G54" i="4"/>
  <c r="H76" i="4"/>
  <c r="G76" i="4"/>
  <c r="H75" i="4"/>
  <c r="G75" i="4"/>
  <c r="H74" i="4"/>
  <c r="G74" i="4"/>
  <c r="H73" i="4"/>
  <c r="G73" i="4"/>
  <c r="H72" i="4"/>
  <c r="G72" i="4"/>
  <c r="H71" i="4"/>
  <c r="G71" i="4"/>
  <c r="H64" i="4"/>
  <c r="G64" i="4"/>
  <c r="H63" i="4"/>
  <c r="G63" i="4"/>
  <c r="H62" i="4"/>
  <c r="G62" i="4"/>
  <c r="H61" i="4"/>
  <c r="G61" i="4"/>
  <c r="H83" i="2"/>
  <c r="G83" i="2" s="1"/>
  <c r="H84" i="2"/>
  <c r="G84" i="2" s="1"/>
  <c r="H85" i="2"/>
  <c r="G85" i="2" s="1"/>
  <c r="H86" i="2"/>
  <c r="G86" i="2" s="1"/>
  <c r="H87" i="2"/>
  <c r="G87" i="2" s="1"/>
  <c r="H88" i="2"/>
  <c r="G88" i="2" s="1"/>
  <c r="H89" i="2"/>
  <c r="G89" i="2" s="1"/>
  <c r="G90" i="2"/>
  <c r="H90" i="2"/>
  <c r="H91" i="2"/>
  <c r="G91" i="2" s="1"/>
  <c r="H92" i="2"/>
  <c r="G92" i="2" s="1"/>
  <c r="H93" i="2"/>
  <c r="G93" i="2" s="1"/>
  <c r="H94" i="2"/>
  <c r="G94" i="2" s="1"/>
  <c r="H95" i="2"/>
  <c r="G95" i="2" s="1"/>
  <c r="H96" i="2"/>
  <c r="G96" i="2" s="1"/>
  <c r="H97" i="2"/>
  <c r="G97" i="2" s="1"/>
  <c r="H98" i="2"/>
  <c r="G98" i="2" s="1"/>
  <c r="H99" i="2"/>
  <c r="G99" i="2" s="1"/>
  <c r="H100" i="2"/>
  <c r="G100" i="2" s="1"/>
  <c r="H101" i="2"/>
  <c r="G101" i="2" s="1"/>
  <c r="H102" i="2"/>
  <c r="G102" i="2" s="1"/>
  <c r="G103" i="2"/>
  <c r="H103" i="2"/>
  <c r="H104" i="2"/>
  <c r="G104" i="2" s="1"/>
  <c r="H105" i="2"/>
  <c r="G105" i="2" s="1"/>
  <c r="H106" i="2"/>
  <c r="G106" i="2" s="1"/>
  <c r="H107" i="2"/>
  <c r="G107" i="2" s="1"/>
  <c r="H108" i="2"/>
  <c r="G108" i="2" s="1"/>
  <c r="H109" i="2"/>
  <c r="G109" i="2" s="1"/>
  <c r="H110" i="2"/>
  <c r="G110" i="2" s="1"/>
  <c r="H111" i="2"/>
  <c r="G111" i="2" s="1"/>
  <c r="H112" i="2"/>
  <c r="G112" i="2" s="1"/>
  <c r="G113" i="2"/>
  <c r="H113" i="2"/>
  <c r="H114" i="2"/>
  <c r="G114" i="2" s="1"/>
  <c r="H115" i="2"/>
  <c r="G115" i="2" s="1"/>
  <c r="H116" i="2"/>
  <c r="G116" i="2" s="1"/>
  <c r="H117" i="2"/>
  <c r="G117" i="2" s="1"/>
  <c r="H118" i="2"/>
  <c r="G118" i="2" s="1"/>
  <c r="H119" i="2"/>
  <c r="G119" i="2" s="1"/>
  <c r="H120" i="2"/>
  <c r="G120" i="2" s="1"/>
  <c r="H121" i="2"/>
  <c r="G121" i="2" s="1"/>
  <c r="H122" i="2"/>
  <c r="G122" i="2" s="1"/>
  <c r="H123" i="2"/>
  <c r="G123" i="2" s="1"/>
  <c r="H124" i="2"/>
  <c r="G124" i="2" s="1"/>
  <c r="H125" i="2"/>
  <c r="G125" i="2" s="1"/>
  <c r="H126" i="2"/>
  <c r="G126" i="2" s="1"/>
  <c r="H127" i="2"/>
  <c r="G127" i="2" s="1"/>
  <c r="H128" i="2"/>
  <c r="G128" i="2" s="1"/>
  <c r="H129" i="2"/>
  <c r="G129" i="2" s="1"/>
  <c r="H130" i="2"/>
  <c r="G130" i="2" s="1"/>
  <c r="H131" i="2"/>
  <c r="G131" i="2" s="1"/>
  <c r="H132" i="2"/>
  <c r="G132" i="2" s="1"/>
  <c r="H133" i="2"/>
  <c r="G133" i="2" s="1"/>
  <c r="G134" i="2"/>
  <c r="H134" i="2"/>
  <c r="H135" i="2"/>
  <c r="G135" i="2" s="1"/>
  <c r="H136" i="2"/>
  <c r="G136" i="2" s="1"/>
  <c r="H137" i="2"/>
  <c r="G137" i="2" s="1"/>
  <c r="H138" i="2"/>
  <c r="G138" i="2" s="1"/>
  <c r="H139" i="2"/>
  <c r="G139" i="2" s="1"/>
  <c r="H140" i="2"/>
  <c r="G140" i="2" s="1"/>
  <c r="H141" i="2"/>
  <c r="G141" i="2" s="1"/>
  <c r="H142" i="2"/>
  <c r="G142" i="2" s="1"/>
  <c r="H143" i="2"/>
  <c r="G143" i="2" s="1"/>
  <c r="H144" i="2"/>
  <c r="G144" i="2" s="1"/>
  <c r="H145" i="2"/>
  <c r="G145" i="2" s="1"/>
  <c r="H146" i="2"/>
  <c r="G146" i="2" s="1"/>
  <c r="H147" i="2"/>
  <c r="G147" i="2" s="1"/>
  <c r="H148" i="2"/>
  <c r="G148" i="2" s="1"/>
  <c r="H149" i="2"/>
  <c r="G149" i="2" s="1"/>
  <c r="H150" i="2"/>
  <c r="G150" i="2" s="1"/>
  <c r="H151" i="2"/>
  <c r="G151" i="2" s="1"/>
  <c r="H152" i="2"/>
  <c r="G152" i="2" s="1"/>
  <c r="H153" i="2"/>
  <c r="G153" i="2" s="1"/>
  <c r="H154" i="2"/>
  <c r="G154" i="2" s="1"/>
  <c r="H155" i="2"/>
  <c r="G155" i="2" s="1"/>
  <c r="H156" i="2"/>
  <c r="G156" i="2" s="1"/>
  <c r="H157" i="2"/>
  <c r="G157" i="2" s="1"/>
  <c r="H158" i="2"/>
  <c r="G158" i="2" s="1"/>
  <c r="H159" i="2"/>
  <c r="G159" i="2" s="1"/>
  <c r="H160" i="2"/>
  <c r="G160" i="2" s="1"/>
  <c r="H161" i="2"/>
  <c r="G161" i="2" s="1"/>
  <c r="H162" i="2"/>
  <c r="G162" i="2" s="1"/>
  <c r="H163" i="2"/>
  <c r="G163" i="2" s="1"/>
  <c r="H164" i="2"/>
  <c r="G164" i="2" s="1"/>
  <c r="H165" i="2"/>
  <c r="G165" i="2" s="1"/>
  <c r="H166" i="2"/>
  <c r="G166" i="2" s="1"/>
  <c r="H167" i="2"/>
  <c r="G167" i="2" s="1"/>
  <c r="H168" i="2"/>
  <c r="G168" i="2" s="1"/>
  <c r="H169" i="2"/>
  <c r="G169" i="2" s="1"/>
  <c r="H170" i="2"/>
  <c r="G170" i="2" s="1"/>
  <c r="H171" i="2"/>
  <c r="G171" i="2" s="1"/>
  <c r="D83" i="2"/>
  <c r="D84" i="2"/>
  <c r="D85" i="2"/>
  <c r="D86" i="2"/>
  <c r="D87" i="2"/>
  <c r="D88" i="2"/>
  <c r="D89" i="2"/>
  <c r="D90" i="2"/>
  <c r="D91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H82" i="4"/>
  <c r="G82" i="4"/>
  <c r="H81" i="4"/>
  <c r="G81" i="4"/>
  <c r="G12" i="2"/>
  <c r="H12" i="2"/>
  <c r="G13" i="2"/>
  <c r="H13" i="2"/>
  <c r="H14" i="2"/>
  <c r="G14" i="2" s="1"/>
  <c r="H15" i="2"/>
  <c r="G15" i="2" s="1"/>
  <c r="H16" i="2"/>
  <c r="G16" i="2" s="1"/>
  <c r="H17" i="2"/>
  <c r="G17" i="2" s="1"/>
  <c r="G18" i="2"/>
  <c r="H18" i="2"/>
  <c r="G19" i="2"/>
  <c r="H19" i="2"/>
  <c r="H20" i="2"/>
  <c r="G20" i="2" s="1"/>
  <c r="H21" i="2"/>
  <c r="G21" i="2" s="1"/>
  <c r="G22" i="2"/>
  <c r="H22" i="2"/>
  <c r="H23" i="2"/>
  <c r="G23" i="2" s="1"/>
  <c r="G24" i="2"/>
  <c r="H24" i="2"/>
  <c r="G25" i="2"/>
  <c r="H25" i="2"/>
  <c r="H26" i="2"/>
  <c r="G26" i="2" s="1"/>
  <c r="H27" i="2"/>
  <c r="G27" i="2" s="1"/>
  <c r="G28" i="2"/>
  <c r="H28" i="2"/>
  <c r="H29" i="2"/>
  <c r="G29" i="2" s="1"/>
  <c r="G30" i="2"/>
  <c r="H30" i="2"/>
  <c r="G31" i="2"/>
  <c r="H31" i="2"/>
  <c r="H32" i="2"/>
  <c r="G32" i="2" s="1"/>
  <c r="H33" i="2"/>
  <c r="G33" i="2" s="1"/>
  <c r="G34" i="2"/>
  <c r="H34" i="2"/>
  <c r="H35" i="2"/>
  <c r="G35" i="2" s="1"/>
  <c r="G36" i="2"/>
  <c r="H36" i="2"/>
  <c r="G37" i="2"/>
  <c r="H37" i="2"/>
  <c r="H38" i="2"/>
  <c r="G38" i="2" s="1"/>
  <c r="H39" i="2"/>
  <c r="G39" i="2" s="1"/>
  <c r="G40" i="2"/>
  <c r="H40" i="2"/>
  <c r="H41" i="2"/>
  <c r="G41" i="2" s="1"/>
  <c r="G42" i="2"/>
  <c r="H42" i="2"/>
  <c r="G43" i="2"/>
  <c r="H43" i="2"/>
  <c r="H44" i="2"/>
  <c r="G44" i="2" s="1"/>
  <c r="H45" i="2"/>
  <c r="G45" i="2" s="1"/>
  <c r="G46" i="2"/>
  <c r="H46" i="2"/>
  <c r="H47" i="2"/>
  <c r="G47" i="2" s="1"/>
  <c r="G48" i="2"/>
  <c r="H48" i="2"/>
  <c r="G49" i="2"/>
  <c r="H49" i="2"/>
  <c r="H50" i="2"/>
  <c r="G50" i="2" s="1"/>
  <c r="H51" i="2"/>
  <c r="G51" i="2" s="1"/>
  <c r="G52" i="2"/>
  <c r="H52" i="2"/>
  <c r="H53" i="2"/>
  <c r="G53" i="2" s="1"/>
  <c r="G54" i="2"/>
  <c r="H54" i="2"/>
  <c r="G55" i="2"/>
  <c r="H55" i="2"/>
  <c r="H56" i="2"/>
  <c r="G56" i="2" s="1"/>
  <c r="H57" i="2"/>
  <c r="G57" i="2" s="1"/>
  <c r="G58" i="2"/>
  <c r="H58" i="2"/>
  <c r="H59" i="2"/>
  <c r="G59" i="2" s="1"/>
  <c r="G60" i="2"/>
  <c r="H60" i="2"/>
  <c r="G61" i="2"/>
  <c r="H61" i="2"/>
  <c r="H62" i="2"/>
  <c r="G62" i="2" s="1"/>
  <c r="H63" i="2"/>
  <c r="G63" i="2" s="1"/>
  <c r="G64" i="2"/>
  <c r="H64" i="2"/>
  <c r="H65" i="2"/>
  <c r="G65" i="2" s="1"/>
  <c r="G66" i="2"/>
  <c r="H66" i="2"/>
  <c r="H67" i="2"/>
  <c r="G67" i="2" s="1"/>
  <c r="H68" i="2"/>
  <c r="G68" i="2" s="1"/>
  <c r="H69" i="2"/>
  <c r="G69" i="2" s="1"/>
  <c r="G70" i="2"/>
  <c r="H70" i="2"/>
  <c r="H71" i="2"/>
  <c r="G71" i="2" s="1"/>
  <c r="G72" i="2"/>
  <c r="H72" i="2"/>
  <c r="G73" i="2"/>
  <c r="H73" i="2"/>
  <c r="H74" i="2"/>
  <c r="G74" i="2" s="1"/>
  <c r="H75" i="2"/>
  <c r="G75" i="2" s="1"/>
  <c r="G76" i="2"/>
  <c r="H76" i="2"/>
  <c r="H77" i="2"/>
  <c r="G77" i="2" s="1"/>
  <c r="G78" i="2"/>
  <c r="H78" i="2"/>
  <c r="G79" i="2"/>
  <c r="H79" i="2"/>
  <c r="H80" i="2"/>
  <c r="G80" i="2" s="1"/>
  <c r="H81" i="2"/>
  <c r="G81" i="2" s="1"/>
  <c r="G82" i="2"/>
  <c r="H82" i="2"/>
  <c r="G11" i="2"/>
  <c r="H11" i="2"/>
  <c r="D15" i="2"/>
  <c r="D12" i="2"/>
  <c r="D13" i="2"/>
  <c r="D14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11" i="2"/>
  <c r="D8" i="2"/>
  <c r="D10" i="2"/>
  <c r="D3" i="2"/>
  <c r="D4" i="2"/>
  <c r="D5" i="2"/>
  <c r="D6" i="2"/>
  <c r="D7" i="2"/>
  <c r="D9" i="2"/>
  <c r="D2" i="2"/>
</calcChain>
</file>

<file path=xl/sharedStrings.xml><?xml version="1.0" encoding="utf-8"?>
<sst xmlns="http://schemas.openxmlformats.org/spreadsheetml/2006/main" count="1167" uniqueCount="467">
  <si>
    <t>name</t>
  </si>
  <si>
    <t>vn_kv</t>
  </si>
  <si>
    <t>type</t>
  </si>
  <si>
    <t>zone</t>
  </si>
  <si>
    <t>in_service</t>
  </si>
  <si>
    <t>min_vm_pu</t>
  </si>
  <si>
    <t>max_vm_pu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</si>
  <si>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</si>
  <si>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</si>
  <si>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</si>
  <si>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</si>
  <si>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</si>
  <si>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</si>
  <si>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</si>
  <si>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</si>
  <si>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</si>
  <si>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</si>
  <si>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</si>
  <si>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</si>
  <si>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</si>
  <si>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</si>
  <si>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</si>
  <si>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</si>
  <si>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</si>
  <si>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</si>
  <si>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</si>
  <si>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</si>
  <si>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</si>
  <si>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</si>
  <si>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</si>
  <si>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</si>
  <si>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</si>
  <si>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</si>
  <si>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</si>
  <si>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</si>
  <si>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</si>
  <si>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</si>
  <si>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</si>
  <si>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</si>
  <si>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</si>
  <si>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</si>
  <si>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</si>
  <si>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</si>
  <si>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</si>
  <si>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</si>
  <si>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</si>
  <si>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</si>
  <si>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</si>
  <si>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</si>
  <si>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</si>
  <si>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</si>
  <si>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</si>
  <si>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b</t>
  </si>
  <si>
    <t>Station Eemshaven 220</t>
  </si>
  <si>
    <t>Station Ens 220</t>
  </si>
  <si>
    <t>Station Hessenweg 220</t>
  </si>
  <si>
    <t>Station Louwsmeer 220</t>
  </si>
  <si>
    <t>Station Meeden 220</t>
  </si>
  <si>
    <t>Station Oudehaske 220</t>
  </si>
  <si>
    <t>Station Robbenplaat 220</t>
  </si>
  <si>
    <t>Station Vierverlaten 220</t>
  </si>
  <si>
    <t>Station Weiwerd 220</t>
  </si>
  <si>
    <t>Station Zeyerveen 220</t>
  </si>
  <si>
    <t>Station Breukelen Kortrijk 380</t>
  </si>
  <si>
    <t>Station Borssele 380</t>
  </si>
  <si>
    <t>Station Beverwijk 380</t>
  </si>
  <si>
    <t>Station Bleiswijk 380</t>
  </si>
  <si>
    <t>Station Crayestein 380</t>
  </si>
  <si>
    <t>Station Diemen 380</t>
  </si>
  <si>
    <t>Station Dodewaard 380</t>
  </si>
  <si>
    <t>Station Doetinchem 380</t>
  </si>
  <si>
    <t>Station Eemshaven 380</t>
  </si>
  <si>
    <t>Station Eindhoven 380</t>
  </si>
  <si>
    <t>Station Ens 380</t>
  </si>
  <si>
    <t>Station Eemshaven Oudeschip 380</t>
  </si>
  <si>
    <t>Station Geertruidenberg 380</t>
  </si>
  <si>
    <t>Station Hengelo 380</t>
  </si>
  <si>
    <t>Station Krimpen a/d IJssel 380</t>
  </si>
  <si>
    <t>Station Lelystad 380</t>
  </si>
  <si>
    <t>Station Maasbracht 380</t>
  </si>
  <si>
    <t>Station Meeden 380</t>
  </si>
  <si>
    <t>Station Maasvlakte 380</t>
  </si>
  <si>
    <t>Station Oostzaan 380</t>
  </si>
  <si>
    <t>Station Rilland 380</t>
  </si>
  <si>
    <t>Station Vijfhuizen 380</t>
  </si>
  <si>
    <t>Station Westerlee 380</t>
  </si>
  <si>
    <t>Station Wateringen 380</t>
  </si>
  <si>
    <t>Station Zwolle 380</t>
  </si>
  <si>
    <t>Connection Britain (BritNed)</t>
  </si>
  <si>
    <t>Connection Denmark (COBRA)</t>
  </si>
  <si>
    <t>Connection Norway (NorNed)</t>
  </si>
  <si>
    <t>380kV Germany (Diele) - Groningen</t>
  </si>
  <si>
    <t>380kV Germany (Gronau) - Enschede</t>
  </si>
  <si>
    <t>380kV Germany (Wesel) - Doetichem</t>
  </si>
  <si>
    <t>380kV Germany (Rommerskirchen) - Roermond</t>
  </si>
  <si>
    <t>380kV Germany (Siersdorf) - Roermond</t>
  </si>
  <si>
    <t>380kV Belgium - Maasbracht</t>
  </si>
  <si>
    <t>380kV Belgium (Zandvliet) - Rilland</t>
  </si>
  <si>
    <t>bus</t>
  </si>
  <si>
    <t>p_mw</t>
  </si>
  <si>
    <t>vm_pu</t>
  </si>
  <si>
    <t>sn_mva</t>
  </si>
  <si>
    <t>min_q_mvar</t>
  </si>
  <si>
    <t>max_q_mvar</t>
  </si>
  <si>
    <t>scaling</t>
  </si>
  <si>
    <t>slack</t>
  </si>
  <si>
    <t>slack_weight</t>
  </si>
  <si>
    <t>controllable</t>
  </si>
  <si>
    <t>min_p_mw</t>
  </si>
  <si>
    <t>max_p_mw</t>
  </si>
  <si>
    <t>380kV Belgium (Van Eyck) - Maasbracht</t>
  </si>
  <si>
    <t>380kV Britain (BritNed) - Maasvlakte</t>
  </si>
  <si>
    <t>380kV Denmark (COBRA) - Eemshaven</t>
  </si>
  <si>
    <t>380kV Norway (NorNed) - Eemshaven</t>
  </si>
  <si>
    <t>External Grid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</si>
  <si>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</si>
  <si>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</si>
  <si>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</si>
  <si>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</si>
  <si>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</si>
  <si>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</si>
  <si>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</si>
  <si>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</si>
  <si>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</si>
  <si>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</si>
  <si>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</si>
  <si>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</si>
  <si>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</si>
  <si>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</si>
  <si>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</si>
  <si>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</si>
  <si>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</si>
  <si>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</si>
  <si>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</si>
  <si>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</si>
  <si>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</si>
  <si>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</si>
  <si>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</si>
  <si>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</si>
  <si>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</si>
  <si>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</si>
  <si>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</si>
  <si>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</si>
  <si>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</si>
  <si>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</si>
  <si>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</si>
  <si>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</si>
  <si>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</si>
  <si>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</si>
  <si>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</si>
  <si>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</si>
  <si>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</si>
  <si>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</si>
  <si>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</si>
  <si>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</si>
  <si>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</si>
  <si>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</si>
  <si>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</si>
  <si>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</si>
  <si>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</si>
  <si>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</si>
  <si>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</si>
  <si>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</si>
  <si>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</si>
  <si>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</si>
  <si>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</si>
  <si>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</si>
  <si>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</si>
  <si>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</si>
  <si>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</si>
  <si>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</si>
  <si>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</si>
  <si>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</si>
  <si>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</si>
  <si>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</si>
  <si>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</si>
  <si>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</si>
  <si>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</si>
  <si>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</si>
  <si>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</si>
  <si>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</si>
  <si>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</si>
  <si>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</si>
  <si>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</si>
  <si>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</si>
  <si>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</si>
  <si>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</si>
  <si>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</si>
  <si>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</si>
  <si>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</si>
  <si>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</si>
  <si>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</si>
  <si>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</si>
  <si>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</si>
  <si>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</si>
  <si>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</si>
  <si>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</si>
  <si>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</si>
  <si>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</si>
  <si>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</si>
  <si>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</si>
  <si>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</si>
  <si>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</si>
  <si>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220kV</t>
  </si>
  <si>
    <t>380kV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</si>
  <si>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</si>
  <si>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</si>
  <si>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</si>
  <si>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</si>
  <si>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</si>
  <si>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</si>
  <si>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</si>
  <si>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</si>
  <si>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</si>
  <si>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</si>
  <si>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</si>
  <si>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</si>
  <si>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</si>
  <si>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</si>
  <si>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</si>
  <si>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</si>
  <si>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</si>
  <si>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tp_pos</t>
  </si>
  <si>
    <t>Transformer EEM380 - EEM220</t>
  </si>
  <si>
    <t>Transformer ENS380 - ENS220</t>
  </si>
  <si>
    <t>Transformer MEE380 - MEE220</t>
  </si>
  <si>
    <t>x</t>
  </si>
  <si>
    <t>y</t>
  </si>
  <si>
    <t>coords</t>
  </si>
  <si>
    <t>element</t>
  </si>
  <si>
    <t>column</t>
  </si>
  <si>
    <t>dtype</t>
  </si>
  <si>
    <t>gen</t>
  </si>
  <si>
    <t>ext_grid</t>
  </si>
  <si>
    <t>line</t>
  </si>
  <si>
    <t>trafo</t>
  </si>
  <si>
    <t>bus_geodata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</si>
  <si>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</si>
  <si>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</si>
  <si>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</si>
  <si>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</si>
  <si>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</si>
  <si>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</si>
  <si>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</si>
  <si>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</si>
  <si>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</si>
  <si>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2.13.1</t>
  </si>
  <si>
    <t>2.12.0</t>
  </si>
  <si>
    <t>VVL380</t>
  </si>
  <si>
    <t>Station Vierverlaten 380</t>
  </si>
  <si>
    <t>TB380</t>
  </si>
  <si>
    <t>Station Tilburg 380</t>
  </si>
  <si>
    <t>MSK380</t>
  </si>
  <si>
    <t>Station Musselkanaal 380</t>
  </si>
  <si>
    <t>WCH380</t>
  </si>
  <si>
    <t>Station Wijchen 380</t>
  </si>
  <si>
    <t>ALR380</t>
  </si>
  <si>
    <t>Station Almere 380</t>
  </si>
  <si>
    <t>HLS380</t>
  </si>
  <si>
    <t>Station Halsteren 380</t>
  </si>
  <si>
    <t>ERP380</t>
  </si>
  <si>
    <t>Station Europoort 380</t>
  </si>
  <si>
    <t>VOB380</t>
  </si>
  <si>
    <t>Station Veenoord Boerdijk 380</t>
  </si>
  <si>
    <t>Transformer VLL380 - VLL220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</si>
  <si>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</si>
  <si>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</si>
  <si>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</si>
  <si>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</si>
  <si>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</si>
  <si>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</si>
  <si>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</si>
  <si>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</si>
  <si>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</si>
  <si>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</si>
  <si>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</si>
  <si>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</si>
  <si>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</si>
  <si>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</si>
  <si>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</si>
  <si>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</si>
  <si>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</si>
  <si>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</si>
  <si>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</si>
  <si>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</si>
  <si>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</si>
  <si>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</si>
  <si>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</si>
  <si>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</si>
  <si>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</si>
  <si>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</si>
  <si>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</si>
  <si>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</si>
  <si>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</si>
  <si>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</si>
  <si>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</si>
  <si>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</si>
  <si>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</si>
  <si>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</si>
  <si>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</si>
  <si>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</si>
  <si>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</si>
  <si>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WL380-ERP380-W</t>
  </si>
  <si>
    <t>ALR380-LLS380-O</t>
  </si>
  <si>
    <t>ALR380-LSS380-P</t>
  </si>
  <si>
    <t>ALR380-LSS380-W</t>
  </si>
  <si>
    <t>ALR380-LSS380-Z</t>
  </si>
  <si>
    <t>q_mvar</t>
  </si>
  <si>
    <t>Windpark Gemini</t>
  </si>
  <si>
    <t>WP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</si>
  <si>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</si>
  <si>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</si>
  <si>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</si>
  <si>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</si>
  <si>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</si>
  <si>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</si>
  <si>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</si>
  <si>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</si>
  <si>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</si>
  <si>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</si>
  <si>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</si>
  <si>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</si>
  <si>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</si>
  <si>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</si>
  <si>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</si>
  <si>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</si>
  <si>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</si>
  <si>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</si>
  <si>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</si>
  <si>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</si>
  <si>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</si>
  <si>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</si>
  <si>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</si>
  <si>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</si>
  <si>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</si>
  <si>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</si>
  <si>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</si>
  <si>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PV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</si>
  <si>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</si>
  <si>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</si>
  <si>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</si>
  <si>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</si>
  <si>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</si>
  <si>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</si>
  <si>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</si>
  <si>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</si>
  <si>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</si>
  <si>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</si>
  <si>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</si>
  <si>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</si>
  <si>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</si>
  <si>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</si>
  <si>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</si>
  <si>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 xml:space="preserve">Pergen Power Station </t>
  </si>
  <si>
    <t>CCGT</t>
  </si>
  <si>
    <t>Amylum Gas</t>
  </si>
  <si>
    <t>Corus CHP</t>
  </si>
  <si>
    <t>Kerncentrale Borssele</t>
  </si>
  <si>
    <t>Nuclear</t>
  </si>
  <si>
    <t>Attero Waste Incineration Plant</t>
  </si>
  <si>
    <t>Waste</t>
  </si>
  <si>
    <t>ELSTA centrale</t>
  </si>
  <si>
    <t>EnecoGen</t>
  </si>
  <si>
    <t>Centrale Bergum</t>
  </si>
  <si>
    <t>Combi</t>
  </si>
  <si>
    <t>Eemscentrale</t>
  </si>
  <si>
    <t>Maximacentrale</t>
  </si>
  <si>
    <t>Centrale Leiden</t>
  </si>
  <si>
    <t>CCGT &amp; CHP</t>
  </si>
  <si>
    <t>Centrale Den Haag</t>
  </si>
  <si>
    <t>Centrale RoCa</t>
  </si>
  <si>
    <t>Coal &amp; Biomass</t>
  </si>
  <si>
    <t>Maasvlakte UCML</t>
  </si>
  <si>
    <t>Sloecentrale</t>
  </si>
  <si>
    <t>Amercentrale</t>
  </si>
  <si>
    <t>Salinco</t>
  </si>
  <si>
    <t>Delesto</t>
  </si>
  <si>
    <t>Clauscentrale</t>
  </si>
  <si>
    <t>N.A.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</si>
  <si>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</si>
  <si>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</si>
  <si>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</si>
  <si>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</si>
  <si>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</si>
  <si>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Biomass</t>
  </si>
  <si>
    <t>Warmtekrachtcentrale 's-Hertogenbosch</t>
  </si>
  <si>
    <t>NAM Schoonebeek</t>
  </si>
  <si>
    <t>Nuon Warmtecentrale Almere</t>
  </si>
  <si>
    <t xml:space="preserve">Centrale Diemen </t>
  </si>
  <si>
    <t>Centrale Hemweg</t>
  </si>
  <si>
    <t>Cluster Velsen</t>
  </si>
  <si>
    <t>CCGT &amp; CHP - BFG</t>
  </si>
  <si>
    <t>Lage Weide</t>
  </si>
  <si>
    <t>Centrale Merwedekanaal</t>
  </si>
  <si>
    <t>Centrale Purmerend</t>
  </si>
  <si>
    <t>CHP</t>
  </si>
  <si>
    <t>CCGT &amp; CHP - BFG - Backup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</si>
  <si>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</si>
  <si>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</si>
  <si>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</si>
  <si>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</si>
  <si>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</si>
  <si>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</si>
  <si>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</si>
  <si>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</si>
  <si>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</si>
  <si>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</si>
  <si>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</si>
  <si>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</si>
  <si>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</si>
  <si>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</si>
  <si>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</si>
  <si>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</si>
  <si>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</si>
  <si>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</si>
  <si>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</si>
  <si>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</si>
  <si>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</si>
  <si>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</si>
  <si>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</si>
  <si>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Orsted I&amp;II Borssele</t>
  </si>
  <si>
    <t>Two Towers Borssele</t>
  </si>
  <si>
    <t>Blauwwind Borssele</t>
  </si>
  <si>
    <t>Site VIII Hollandse kust West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</si>
  <si>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</si>
  <si>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</si>
  <si>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</si>
  <si>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</si>
  <si>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</si>
  <si>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</si>
  <si>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</si>
  <si>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Lelystad</t>
  </si>
  <si>
    <t>BEE Stadskanaal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</si>
  <si>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</si>
  <si>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</si>
  <si>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</si>
  <si>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</si>
  <si>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</si>
  <si>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</si>
  <si>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</si>
  <si>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</si>
  <si>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</si>
  <si>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</si>
  <si>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</si>
  <si>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</si>
  <si>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</si>
  <si>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</si>
  <si>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</si>
  <si>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</si>
  <si>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</si>
  <si>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1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</si>
  <si>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</si>
  <si>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</si>
  <si>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</si>
  <si>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</si>
  <si>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</si>
  <si>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</si>
  <si>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Woudbleom Slochteren</t>
  </si>
  <si>
    <t>const_z_percent</t>
  </si>
  <si>
    <t>const_i_percent</t>
  </si>
  <si>
    <t>wye</t>
  </si>
  <si>
    <t>Nederwiek 1</t>
  </si>
  <si>
    <t>Nederwiek 2</t>
  </si>
  <si>
    <t>RLL-TB380-A</t>
  </si>
  <si>
    <t>RLL-TB380-B</t>
  </si>
  <si>
    <t>GT-HLS380-W</t>
  </si>
  <si>
    <t>GT-HLS380-Z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</si>
</sst>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7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0" borderId="0" xfId="0" applyFont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opLeftCell="A29" zoomScale="108" workbookViewId="0">
      <selection activeCell="C47" sqref="C47:C54"/>
    </sheetView>
  </sheetViews>
  <sheetFormatPr defaultRowHeight="15" x14ac:dyDescent="0.25"/>
  <cols>
    <col min="5" max="5" width="43.57031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220</v>
      </c>
      <c r="D2" t="s">
        <v>52</v>
      </c>
      <c r="E2" t="s">
        <v>53</v>
      </c>
      <c r="F2" t="b">
        <v>1</v>
      </c>
      <c r="G2">
        <v>0.95</v>
      </c>
      <c r="H2">
        <v>1.05</v>
      </c>
    </row>
    <row r="3" spans="1:8" x14ac:dyDescent="0.25">
      <c r="A3" s="1">
        <v>1</v>
      </c>
      <c r="B3" t="s">
        <v>8</v>
      </c>
      <c r="C3">
        <v>220</v>
      </c>
      <c r="D3" t="s">
        <v>52</v>
      </c>
      <c r="E3" t="s">
        <v>54</v>
      </c>
      <c r="F3" t="b">
        <v>1</v>
      </c>
      <c r="G3">
        <v>0.95</v>
      </c>
      <c r="H3">
        <v>1.05</v>
      </c>
    </row>
    <row r="4" spans="1:8" x14ac:dyDescent="0.25">
      <c r="A4" s="1">
        <v>2</v>
      </c>
      <c r="B4" t="s">
        <v>9</v>
      </c>
      <c r="C4">
        <v>220</v>
      </c>
      <c r="D4" t="s">
        <v>52</v>
      </c>
      <c r="E4" t="s">
        <v>55</v>
      </c>
      <c r="F4" t="b">
        <v>1</v>
      </c>
      <c r="G4">
        <v>0.95</v>
      </c>
      <c r="H4">
        <v>1.05</v>
      </c>
    </row>
    <row r="5" spans="1:8" x14ac:dyDescent="0.25">
      <c r="A5" s="1">
        <v>3</v>
      </c>
      <c r="B5" t="s">
        <v>10</v>
      </c>
      <c r="C5">
        <v>220</v>
      </c>
      <c r="D5" t="s">
        <v>52</v>
      </c>
      <c r="E5" t="s">
        <v>56</v>
      </c>
      <c r="F5" t="b">
        <v>1</v>
      </c>
      <c r="G5">
        <v>0.95</v>
      </c>
      <c r="H5">
        <v>1.05</v>
      </c>
    </row>
    <row r="6" spans="1:8" x14ac:dyDescent="0.25">
      <c r="A6" s="1">
        <v>4</v>
      </c>
      <c r="B6" t="s">
        <v>11</v>
      </c>
      <c r="C6">
        <v>220</v>
      </c>
      <c r="D6" t="s">
        <v>52</v>
      </c>
      <c r="E6" t="s">
        <v>57</v>
      </c>
      <c r="F6" t="b">
        <v>1</v>
      </c>
      <c r="G6">
        <v>0.95</v>
      </c>
      <c r="H6">
        <v>1.05</v>
      </c>
    </row>
    <row r="7" spans="1:8" x14ac:dyDescent="0.25">
      <c r="A7" s="1">
        <v>5</v>
      </c>
      <c r="B7" t="s">
        <v>12</v>
      </c>
      <c r="C7">
        <v>220</v>
      </c>
      <c r="D7" t="s">
        <v>52</v>
      </c>
      <c r="E7" t="s">
        <v>58</v>
      </c>
      <c r="F7" t="b">
        <v>1</v>
      </c>
      <c r="G7">
        <v>0.95</v>
      </c>
      <c r="H7">
        <v>1.05</v>
      </c>
    </row>
    <row r="8" spans="1:8" x14ac:dyDescent="0.25">
      <c r="A8" s="1">
        <v>6</v>
      </c>
      <c r="B8" t="s">
        <v>13</v>
      </c>
      <c r="C8">
        <v>220</v>
      </c>
      <c r="D8" t="s">
        <v>52</v>
      </c>
      <c r="E8" t="s">
        <v>59</v>
      </c>
      <c r="F8" t="b">
        <v>1</v>
      </c>
      <c r="G8">
        <v>0.95</v>
      </c>
      <c r="H8">
        <v>1.05</v>
      </c>
    </row>
    <row r="9" spans="1:8" x14ac:dyDescent="0.25">
      <c r="A9" s="1">
        <v>7</v>
      </c>
      <c r="B9" t="s">
        <v>14</v>
      </c>
      <c r="C9">
        <v>220</v>
      </c>
      <c r="D9" t="s">
        <v>52</v>
      </c>
      <c r="E9" t="s">
        <v>60</v>
      </c>
      <c r="F9" t="b">
        <v>1</v>
      </c>
      <c r="G9">
        <v>0.95</v>
      </c>
      <c r="H9">
        <v>1.05</v>
      </c>
    </row>
    <row r="10" spans="1:8" x14ac:dyDescent="0.25">
      <c r="A10" s="1">
        <v>8</v>
      </c>
      <c r="B10" t="s">
        <v>15</v>
      </c>
      <c r="C10">
        <v>220</v>
      </c>
      <c r="D10" t="s">
        <v>52</v>
      </c>
      <c r="E10" t="s">
        <v>61</v>
      </c>
      <c r="F10" t="b">
        <v>1</v>
      </c>
      <c r="G10">
        <v>0.95</v>
      </c>
      <c r="H10">
        <v>1.05</v>
      </c>
    </row>
    <row r="11" spans="1:8" x14ac:dyDescent="0.25">
      <c r="A11" s="1">
        <v>9</v>
      </c>
      <c r="B11" t="s">
        <v>16</v>
      </c>
      <c r="C11">
        <v>220</v>
      </c>
      <c r="D11" t="s">
        <v>52</v>
      </c>
      <c r="E11" t="s">
        <v>62</v>
      </c>
      <c r="F11" t="b">
        <v>1</v>
      </c>
      <c r="G11">
        <v>0.95</v>
      </c>
      <c r="H11">
        <v>1.05</v>
      </c>
    </row>
    <row r="12" spans="1:8" x14ac:dyDescent="0.25">
      <c r="A12" s="1">
        <v>10</v>
      </c>
      <c r="B12" t="s">
        <v>17</v>
      </c>
      <c r="C12">
        <v>380</v>
      </c>
      <c r="D12" t="s">
        <v>52</v>
      </c>
      <c r="E12" t="s">
        <v>63</v>
      </c>
      <c r="F12" t="b">
        <v>1</v>
      </c>
      <c r="G12">
        <v>0.95</v>
      </c>
      <c r="H12">
        <v>1.05</v>
      </c>
    </row>
    <row r="13" spans="1:8" x14ac:dyDescent="0.25">
      <c r="A13" s="1">
        <v>11</v>
      </c>
      <c r="B13" t="s">
        <v>18</v>
      </c>
      <c r="C13">
        <v>380</v>
      </c>
      <c r="D13" t="s">
        <v>52</v>
      </c>
      <c r="E13" t="s">
        <v>64</v>
      </c>
      <c r="F13" t="b">
        <v>1</v>
      </c>
      <c r="G13">
        <v>0.95</v>
      </c>
      <c r="H13">
        <v>1.05</v>
      </c>
    </row>
    <row r="14" spans="1:8" x14ac:dyDescent="0.25">
      <c r="A14" s="1">
        <v>12</v>
      </c>
      <c r="B14" t="s">
        <v>19</v>
      </c>
      <c r="C14">
        <v>380</v>
      </c>
      <c r="D14" t="s">
        <v>52</v>
      </c>
      <c r="E14" t="s">
        <v>65</v>
      </c>
      <c r="F14" t="b">
        <v>1</v>
      </c>
      <c r="G14">
        <v>0.95</v>
      </c>
      <c r="H14">
        <v>1.05</v>
      </c>
    </row>
    <row r="15" spans="1:8" x14ac:dyDescent="0.25">
      <c r="A15" s="1">
        <v>13</v>
      </c>
      <c r="B15" t="s">
        <v>20</v>
      </c>
      <c r="C15">
        <v>380</v>
      </c>
      <c r="D15" t="s">
        <v>52</v>
      </c>
      <c r="E15" t="s">
        <v>66</v>
      </c>
      <c r="F15" t="b">
        <v>1</v>
      </c>
      <c r="G15">
        <v>0.95</v>
      </c>
      <c r="H15">
        <v>1.05</v>
      </c>
    </row>
    <row r="16" spans="1:8" x14ac:dyDescent="0.25">
      <c r="A16" s="1">
        <v>14</v>
      </c>
      <c r="B16" t="s">
        <v>21</v>
      </c>
      <c r="C16">
        <v>380</v>
      </c>
      <c r="D16" t="s">
        <v>52</v>
      </c>
      <c r="E16" t="s">
        <v>67</v>
      </c>
      <c r="F16" t="b">
        <v>1</v>
      </c>
      <c r="G16">
        <v>0.95</v>
      </c>
      <c r="H16">
        <v>1.05</v>
      </c>
    </row>
    <row r="17" spans="1:8" x14ac:dyDescent="0.25">
      <c r="A17" s="1">
        <v>15</v>
      </c>
      <c r="B17" t="s">
        <v>22</v>
      </c>
      <c r="C17">
        <v>380</v>
      </c>
      <c r="D17" t="s">
        <v>52</v>
      </c>
      <c r="E17" t="s">
        <v>68</v>
      </c>
      <c r="F17" t="b">
        <v>1</v>
      </c>
      <c r="G17">
        <v>0.95</v>
      </c>
      <c r="H17">
        <v>1.05</v>
      </c>
    </row>
    <row r="18" spans="1:8" x14ac:dyDescent="0.25">
      <c r="A18" s="1">
        <v>16</v>
      </c>
      <c r="B18" t="s">
        <v>23</v>
      </c>
      <c r="C18">
        <v>380</v>
      </c>
      <c r="D18" t="s">
        <v>52</v>
      </c>
      <c r="E18" t="s">
        <v>69</v>
      </c>
      <c r="F18" t="b">
        <v>1</v>
      </c>
      <c r="G18">
        <v>0.95</v>
      </c>
      <c r="H18">
        <v>1.05</v>
      </c>
    </row>
    <row r="19" spans="1:8" x14ac:dyDescent="0.25">
      <c r="A19" s="1">
        <v>17</v>
      </c>
      <c r="B19" t="s">
        <v>24</v>
      </c>
      <c r="C19">
        <v>380</v>
      </c>
      <c r="D19" t="s">
        <v>52</v>
      </c>
      <c r="E19" t="s">
        <v>70</v>
      </c>
      <c r="F19" t="b">
        <v>1</v>
      </c>
      <c r="G19">
        <v>0.95</v>
      </c>
      <c r="H19">
        <v>1.05</v>
      </c>
    </row>
    <row r="20" spans="1:8" x14ac:dyDescent="0.25">
      <c r="A20" s="1">
        <v>18</v>
      </c>
      <c r="B20" t="s">
        <v>25</v>
      </c>
      <c r="C20">
        <v>380</v>
      </c>
      <c r="D20" t="s">
        <v>52</v>
      </c>
      <c r="E20" t="s">
        <v>71</v>
      </c>
      <c r="F20" t="b">
        <v>1</v>
      </c>
      <c r="G20">
        <v>0.95</v>
      </c>
      <c r="H20">
        <v>1.05</v>
      </c>
    </row>
    <row r="21" spans="1:8" x14ac:dyDescent="0.25">
      <c r="A21" s="1">
        <v>19</v>
      </c>
      <c r="B21" t="s">
        <v>26</v>
      </c>
      <c r="C21">
        <v>380</v>
      </c>
      <c r="D21" t="s">
        <v>52</v>
      </c>
      <c r="E21" t="s">
        <v>72</v>
      </c>
      <c r="F21" t="b">
        <v>1</v>
      </c>
      <c r="G21">
        <v>0.95</v>
      </c>
      <c r="H21">
        <v>1.05</v>
      </c>
    </row>
    <row r="22" spans="1:8" x14ac:dyDescent="0.25">
      <c r="A22" s="1">
        <v>20</v>
      </c>
      <c r="B22" t="s">
        <v>27</v>
      </c>
      <c r="C22">
        <v>380</v>
      </c>
      <c r="D22" t="s">
        <v>52</v>
      </c>
      <c r="E22" t="s">
        <v>73</v>
      </c>
      <c r="F22" t="b">
        <v>1</v>
      </c>
      <c r="G22">
        <v>0.95</v>
      </c>
      <c r="H22">
        <v>1.05</v>
      </c>
    </row>
    <row r="23" spans="1:8" x14ac:dyDescent="0.25">
      <c r="A23" s="1">
        <v>21</v>
      </c>
      <c r="B23" t="s">
        <v>28</v>
      </c>
      <c r="C23">
        <v>380</v>
      </c>
      <c r="D23" t="s">
        <v>52</v>
      </c>
      <c r="E23" t="s">
        <v>74</v>
      </c>
      <c r="F23" t="b">
        <v>1</v>
      </c>
      <c r="G23">
        <v>0.95</v>
      </c>
      <c r="H23">
        <v>1.05</v>
      </c>
    </row>
    <row r="24" spans="1:8" x14ac:dyDescent="0.25">
      <c r="A24" s="1">
        <v>22</v>
      </c>
      <c r="B24" t="s">
        <v>29</v>
      </c>
      <c r="C24">
        <v>380</v>
      </c>
      <c r="D24" t="s">
        <v>52</v>
      </c>
      <c r="E24" t="s">
        <v>75</v>
      </c>
      <c r="F24" t="b">
        <v>1</v>
      </c>
      <c r="G24">
        <v>0.95</v>
      </c>
      <c r="H24">
        <v>1.05</v>
      </c>
    </row>
    <row r="25" spans="1:8" x14ac:dyDescent="0.25">
      <c r="A25" s="1">
        <v>23</v>
      </c>
      <c r="B25" t="s">
        <v>30</v>
      </c>
      <c r="C25">
        <v>380</v>
      </c>
      <c r="D25" t="s">
        <v>52</v>
      </c>
      <c r="E25" t="s">
        <v>76</v>
      </c>
      <c r="F25" t="b">
        <v>1</v>
      </c>
      <c r="G25">
        <v>0.95</v>
      </c>
      <c r="H25">
        <v>1.05</v>
      </c>
    </row>
    <row r="26" spans="1:8" x14ac:dyDescent="0.25">
      <c r="A26" s="1">
        <v>24</v>
      </c>
      <c r="B26" t="s">
        <v>31</v>
      </c>
      <c r="C26">
        <v>380</v>
      </c>
      <c r="D26" t="s">
        <v>52</v>
      </c>
      <c r="E26" t="s">
        <v>77</v>
      </c>
      <c r="F26" t="b">
        <v>1</v>
      </c>
      <c r="G26">
        <v>0.95</v>
      </c>
      <c r="H26">
        <v>1.05</v>
      </c>
    </row>
    <row r="27" spans="1:8" x14ac:dyDescent="0.25">
      <c r="A27" s="1">
        <v>25</v>
      </c>
      <c r="B27" t="s">
        <v>32</v>
      </c>
      <c r="C27">
        <v>380</v>
      </c>
      <c r="D27" t="s">
        <v>52</v>
      </c>
      <c r="E27" t="s">
        <v>78</v>
      </c>
      <c r="F27" t="b">
        <v>1</v>
      </c>
      <c r="G27">
        <v>0.95</v>
      </c>
      <c r="H27">
        <v>1.05</v>
      </c>
    </row>
    <row r="28" spans="1:8" x14ac:dyDescent="0.25">
      <c r="A28" s="1">
        <v>26</v>
      </c>
      <c r="B28" t="s">
        <v>33</v>
      </c>
      <c r="C28">
        <v>380</v>
      </c>
      <c r="D28" t="s">
        <v>52</v>
      </c>
      <c r="E28" t="s">
        <v>79</v>
      </c>
      <c r="F28" t="b">
        <v>1</v>
      </c>
      <c r="G28">
        <v>0.95</v>
      </c>
      <c r="H28">
        <v>1.05</v>
      </c>
    </row>
    <row r="29" spans="1:8" x14ac:dyDescent="0.25">
      <c r="A29" s="1">
        <v>27</v>
      </c>
      <c r="B29" t="s">
        <v>34</v>
      </c>
      <c r="C29">
        <v>380</v>
      </c>
      <c r="D29" t="s">
        <v>52</v>
      </c>
      <c r="E29" t="s">
        <v>80</v>
      </c>
      <c r="F29" t="b">
        <v>1</v>
      </c>
      <c r="G29">
        <v>0.95</v>
      </c>
      <c r="H29">
        <v>1.05</v>
      </c>
    </row>
    <row r="30" spans="1:8" x14ac:dyDescent="0.25">
      <c r="A30" s="1">
        <v>28</v>
      </c>
      <c r="B30" t="s">
        <v>35</v>
      </c>
      <c r="C30">
        <v>380</v>
      </c>
      <c r="D30" t="s">
        <v>52</v>
      </c>
      <c r="E30" t="s">
        <v>81</v>
      </c>
      <c r="F30" t="b">
        <v>1</v>
      </c>
      <c r="G30">
        <v>0.95</v>
      </c>
      <c r="H30">
        <v>1.05</v>
      </c>
    </row>
    <row r="31" spans="1:8" x14ac:dyDescent="0.25">
      <c r="A31" s="1">
        <v>29</v>
      </c>
      <c r="B31" t="s">
        <v>36</v>
      </c>
      <c r="C31">
        <v>380</v>
      </c>
      <c r="D31" t="s">
        <v>52</v>
      </c>
      <c r="E31" t="s">
        <v>82</v>
      </c>
      <c r="F31" t="b">
        <v>1</v>
      </c>
      <c r="G31">
        <v>0.95</v>
      </c>
      <c r="H31">
        <v>1.05</v>
      </c>
    </row>
    <row r="32" spans="1:8" x14ac:dyDescent="0.25">
      <c r="A32" s="1">
        <v>30</v>
      </c>
      <c r="B32" t="s">
        <v>37</v>
      </c>
      <c r="C32">
        <v>380</v>
      </c>
      <c r="D32" t="s">
        <v>52</v>
      </c>
      <c r="E32" t="s">
        <v>83</v>
      </c>
      <c r="F32" t="b">
        <v>1</v>
      </c>
      <c r="G32">
        <v>0.95</v>
      </c>
      <c r="H32">
        <v>1.05</v>
      </c>
    </row>
    <row r="33" spans="1:8" x14ac:dyDescent="0.25">
      <c r="A33" s="1">
        <v>31</v>
      </c>
      <c r="B33" t="s">
        <v>38</v>
      </c>
      <c r="C33">
        <v>380</v>
      </c>
      <c r="D33" t="s">
        <v>52</v>
      </c>
      <c r="E33" t="s">
        <v>84</v>
      </c>
      <c r="F33" t="b">
        <v>1</v>
      </c>
      <c r="G33">
        <v>0.95</v>
      </c>
      <c r="H33">
        <v>1.05</v>
      </c>
    </row>
    <row r="34" spans="1:8" x14ac:dyDescent="0.25">
      <c r="A34" s="1">
        <v>32</v>
      </c>
      <c r="B34" t="s">
        <v>39</v>
      </c>
      <c r="C34">
        <v>380</v>
      </c>
      <c r="D34" t="s">
        <v>52</v>
      </c>
      <c r="E34" t="s">
        <v>85</v>
      </c>
      <c r="F34" t="b">
        <v>1</v>
      </c>
      <c r="G34">
        <v>0.95</v>
      </c>
      <c r="H34">
        <v>1.05</v>
      </c>
    </row>
    <row r="35" spans="1:8" x14ac:dyDescent="0.25">
      <c r="A35" s="1">
        <v>33</v>
      </c>
      <c r="B35" t="s">
        <v>40</v>
      </c>
      <c r="C35">
        <v>380</v>
      </c>
      <c r="D35" t="s">
        <v>52</v>
      </c>
      <c r="E35" t="s">
        <v>86</v>
      </c>
      <c r="F35" t="b">
        <v>1</v>
      </c>
      <c r="G35">
        <v>0.95</v>
      </c>
      <c r="H35">
        <v>1.05</v>
      </c>
    </row>
    <row r="36" spans="1:8" x14ac:dyDescent="0.25">
      <c r="A36" s="1">
        <v>34</v>
      </c>
      <c r="B36" t="s">
        <v>41</v>
      </c>
      <c r="C36">
        <v>380</v>
      </c>
      <c r="D36" t="s">
        <v>52</v>
      </c>
      <c r="E36" t="s">
        <v>87</v>
      </c>
      <c r="F36" t="b">
        <v>1</v>
      </c>
      <c r="G36">
        <v>0.95</v>
      </c>
      <c r="H36">
        <v>1.05</v>
      </c>
    </row>
    <row r="37" spans="1:8" x14ac:dyDescent="0.25">
      <c r="A37" s="1">
        <v>35</v>
      </c>
      <c r="B37" t="s">
        <v>42</v>
      </c>
      <c r="C37">
        <v>380</v>
      </c>
      <c r="D37" t="s">
        <v>52</v>
      </c>
      <c r="E37" t="s">
        <v>88</v>
      </c>
      <c r="F37" t="b">
        <v>1</v>
      </c>
      <c r="G37">
        <v>0.95</v>
      </c>
      <c r="H37">
        <v>1.05</v>
      </c>
    </row>
    <row r="38" spans="1:8" x14ac:dyDescent="0.25">
      <c r="A38" s="1">
        <v>36</v>
      </c>
      <c r="B38" t="s">
        <v>43</v>
      </c>
      <c r="C38">
        <v>380</v>
      </c>
      <c r="D38" t="s">
        <v>52</v>
      </c>
      <c r="E38" t="s">
        <v>89</v>
      </c>
      <c r="F38" t="b">
        <v>1</v>
      </c>
      <c r="G38">
        <v>0.95</v>
      </c>
      <c r="H38">
        <v>1.05</v>
      </c>
    </row>
    <row r="39" spans="1:8" x14ac:dyDescent="0.25">
      <c r="A39" s="1">
        <v>37</v>
      </c>
      <c r="B39" t="s">
        <v>44</v>
      </c>
      <c r="C39">
        <v>380</v>
      </c>
      <c r="D39" t="s">
        <v>52</v>
      </c>
      <c r="E39" t="s">
        <v>90</v>
      </c>
      <c r="F39" t="b">
        <v>1</v>
      </c>
      <c r="G39">
        <v>0.95</v>
      </c>
      <c r="H39">
        <v>1.05</v>
      </c>
    </row>
    <row r="40" spans="1:8" x14ac:dyDescent="0.25">
      <c r="A40" s="1">
        <v>38</v>
      </c>
      <c r="B40" t="s">
        <v>45</v>
      </c>
      <c r="C40">
        <v>380</v>
      </c>
      <c r="D40" t="s">
        <v>52</v>
      </c>
      <c r="E40" t="s">
        <v>91</v>
      </c>
      <c r="F40" t="b">
        <v>1</v>
      </c>
      <c r="G40">
        <v>0.95</v>
      </c>
      <c r="H40">
        <v>1.05</v>
      </c>
    </row>
    <row r="41" spans="1:8" x14ac:dyDescent="0.25">
      <c r="A41" s="1">
        <v>39</v>
      </c>
      <c r="B41" t="s">
        <v>46</v>
      </c>
      <c r="C41">
        <v>380</v>
      </c>
      <c r="D41" t="s">
        <v>52</v>
      </c>
      <c r="E41" t="s">
        <v>92</v>
      </c>
      <c r="F41" t="b">
        <v>1</v>
      </c>
      <c r="G41">
        <v>0.95</v>
      </c>
      <c r="H41">
        <v>1.05</v>
      </c>
    </row>
    <row r="42" spans="1:8" x14ac:dyDescent="0.25">
      <c r="A42" s="1">
        <v>40</v>
      </c>
      <c r="B42" t="s">
        <v>47</v>
      </c>
      <c r="C42">
        <v>380</v>
      </c>
      <c r="D42" t="s">
        <v>52</v>
      </c>
      <c r="E42" t="s">
        <v>93</v>
      </c>
      <c r="F42" t="b">
        <v>1</v>
      </c>
      <c r="G42">
        <v>0.95</v>
      </c>
      <c r="H42">
        <v>1.05</v>
      </c>
    </row>
    <row r="43" spans="1:8" x14ac:dyDescent="0.25">
      <c r="A43" s="1">
        <v>41</v>
      </c>
      <c r="B43" t="s">
        <v>48</v>
      </c>
      <c r="C43">
        <v>380</v>
      </c>
      <c r="D43" t="s">
        <v>52</v>
      </c>
      <c r="E43" t="s">
        <v>94</v>
      </c>
      <c r="F43" t="b">
        <v>1</v>
      </c>
      <c r="G43">
        <v>0.95</v>
      </c>
      <c r="H43">
        <v>1.05</v>
      </c>
    </row>
    <row r="44" spans="1:8" x14ac:dyDescent="0.25">
      <c r="A44" s="1">
        <v>42</v>
      </c>
      <c r="B44" t="s">
        <v>49</v>
      </c>
      <c r="C44">
        <v>380</v>
      </c>
      <c r="D44" t="s">
        <v>52</v>
      </c>
      <c r="E44" t="s">
        <v>95</v>
      </c>
      <c r="F44" t="b">
        <v>1</v>
      </c>
      <c r="G44">
        <v>0.95</v>
      </c>
      <c r="H44">
        <v>1.05</v>
      </c>
    </row>
    <row r="45" spans="1:8" x14ac:dyDescent="0.25">
      <c r="A45" s="1">
        <v>43</v>
      </c>
      <c r="B45" t="s">
        <v>50</v>
      </c>
      <c r="C45">
        <v>380</v>
      </c>
      <c r="D45" t="s">
        <v>52</v>
      </c>
      <c r="E45" t="s">
        <v>96</v>
      </c>
      <c r="F45" t="b">
        <v>1</v>
      </c>
      <c r="G45">
        <v>0.95</v>
      </c>
      <c r="H45">
        <v>1.05</v>
      </c>
    </row>
    <row r="46" spans="1:8" x14ac:dyDescent="0.25">
      <c r="A46" s="1">
        <v>44</v>
      </c>
      <c r="B46" t="s">
        <v>51</v>
      </c>
      <c r="C46">
        <v>380</v>
      </c>
      <c r="D46" t="s">
        <v>52</v>
      </c>
      <c r="E46" t="s">
        <v>97</v>
      </c>
      <c r="F46" t="b">
        <v>1</v>
      </c>
      <c r="G46">
        <v>0.95</v>
      </c>
      <c r="H46">
        <v>1.05</v>
      </c>
    </row>
    <row r="47" spans="1:8" x14ac:dyDescent="0.25">
      <c r="A47" s="4">
        <v>45</v>
      </c>
      <c r="B47" t="s">
        <v>248</v>
      </c>
      <c r="C47">
        <v>380</v>
      </c>
      <c r="D47" t="s">
        <v>52</v>
      </c>
      <c r="E47" t="s">
        <v>249</v>
      </c>
      <c r="F47" t="b">
        <v>1</v>
      </c>
      <c r="G47">
        <v>0.95</v>
      </c>
      <c r="H47">
        <v>1.05</v>
      </c>
    </row>
    <row r="48" spans="1:8" x14ac:dyDescent="0.25">
      <c r="A48" s="4">
        <v>46</v>
      </c>
      <c r="B48" t="s">
        <v>250</v>
      </c>
      <c r="C48">
        <v>380</v>
      </c>
      <c r="D48" t="s">
        <v>52</v>
      </c>
      <c r="E48" t="s">
        <v>251</v>
      </c>
      <c r="F48" t="b">
        <v>1</v>
      </c>
      <c r="G48">
        <v>0.95</v>
      </c>
      <c r="H48">
        <v>1.05</v>
      </c>
    </row>
    <row r="49" spans="1:8" x14ac:dyDescent="0.25">
      <c r="A49" s="4">
        <v>47</v>
      </c>
      <c r="B49" t="s">
        <v>252</v>
      </c>
      <c r="C49">
        <v>380</v>
      </c>
      <c r="D49" t="s">
        <v>52</v>
      </c>
      <c r="E49" t="s">
        <v>253</v>
      </c>
      <c r="F49" t="b">
        <v>1</v>
      </c>
      <c r="G49">
        <v>0.95</v>
      </c>
      <c r="H49">
        <v>1.05</v>
      </c>
    </row>
    <row r="50" spans="1:8" x14ac:dyDescent="0.25">
      <c r="A50" s="4">
        <v>48</v>
      </c>
      <c r="B50" s="5" t="s">
        <v>254</v>
      </c>
      <c r="C50">
        <v>380</v>
      </c>
      <c r="D50" t="s">
        <v>52</v>
      </c>
      <c r="E50" t="s">
        <v>255</v>
      </c>
      <c r="F50" t="b">
        <v>1</v>
      </c>
      <c r="G50">
        <v>0.95</v>
      </c>
      <c r="H50">
        <v>1.05</v>
      </c>
    </row>
    <row r="51" spans="1:8" x14ac:dyDescent="0.25">
      <c r="A51" s="4">
        <v>49</v>
      </c>
      <c r="B51" t="s">
        <v>256</v>
      </c>
      <c r="C51">
        <v>380</v>
      </c>
      <c r="D51" t="s">
        <v>52</v>
      </c>
      <c r="E51" t="s">
        <v>257</v>
      </c>
      <c r="F51" t="b">
        <v>1</v>
      </c>
      <c r="G51">
        <v>0.95</v>
      </c>
      <c r="H51">
        <v>1.05</v>
      </c>
    </row>
    <row r="52" spans="1:8" x14ac:dyDescent="0.25">
      <c r="A52" s="4">
        <v>50</v>
      </c>
      <c r="B52" s="5" t="s">
        <v>258</v>
      </c>
      <c r="C52">
        <v>380</v>
      </c>
      <c r="D52" t="s">
        <v>52</v>
      </c>
      <c r="E52" t="s">
        <v>259</v>
      </c>
      <c r="F52" t="b">
        <v>1</v>
      </c>
      <c r="G52">
        <v>0.95</v>
      </c>
      <c r="H52">
        <v>1.05</v>
      </c>
    </row>
    <row r="53" spans="1:8" x14ac:dyDescent="0.25">
      <c r="A53" s="4">
        <v>51</v>
      </c>
      <c r="B53" t="s">
        <v>260</v>
      </c>
      <c r="C53">
        <v>380</v>
      </c>
      <c r="D53" t="s">
        <v>52</v>
      </c>
      <c r="E53" t="s">
        <v>261</v>
      </c>
      <c r="F53" t="b">
        <v>1</v>
      </c>
      <c r="G53">
        <v>0.95</v>
      </c>
      <c r="H53">
        <v>1.05</v>
      </c>
    </row>
    <row r="54" spans="1:8" x14ac:dyDescent="0.25">
      <c r="A54" s="4">
        <v>52</v>
      </c>
      <c r="B54" s="5" t="s">
        <v>262</v>
      </c>
      <c r="C54">
        <v>380</v>
      </c>
      <c r="D54" t="s">
        <v>52</v>
      </c>
      <c r="E54" t="s">
        <v>263</v>
      </c>
      <c r="F54" t="b">
        <v>1</v>
      </c>
      <c r="G54">
        <v>0.95</v>
      </c>
      <c r="H54">
        <v>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CD30-A54C-4CD0-B058-799BD1C0F64B}">
  <dimension ref="A1:O55"/>
  <sheetViews>
    <sheetView topLeftCell="A25" workbookViewId="0">
      <selection activeCell="L1" sqref="L1"/>
    </sheetView>
  </sheetViews>
  <sheetFormatPr defaultRowHeight="15" x14ac:dyDescent="0.25"/>
  <cols>
    <col min="2" max="2" width="12.28515625" bestFit="1" customWidth="1"/>
  </cols>
  <sheetData>
    <row r="1" spans="1:12" x14ac:dyDescent="0.25">
      <c r="B1" s="1" t="s">
        <v>0</v>
      </c>
      <c r="C1" s="1" t="s">
        <v>98</v>
      </c>
      <c r="D1" s="1" t="s">
        <v>99</v>
      </c>
      <c r="E1" s="1" t="s">
        <v>307</v>
      </c>
      <c r="F1" s="1" t="s">
        <v>458</v>
      </c>
      <c r="G1" s="1" t="s">
        <v>459</v>
      </c>
      <c r="H1" s="1" t="s">
        <v>101</v>
      </c>
      <c r="I1" s="1" t="s">
        <v>104</v>
      </c>
      <c r="J1" s="1" t="s">
        <v>4</v>
      </c>
      <c r="K1" s="1" t="s">
        <v>2</v>
      </c>
      <c r="L1" s="1" t="s">
        <v>107</v>
      </c>
    </row>
    <row r="2" spans="1:12" x14ac:dyDescent="0.25">
      <c r="A2" s="1">
        <v>0</v>
      </c>
      <c r="B2" t="s">
        <v>9</v>
      </c>
      <c r="C2">
        <v>2</v>
      </c>
      <c r="D2" s="10">
        <v>255.23668892135453</v>
      </c>
      <c r="E2" s="10">
        <v>83.892242706931285</v>
      </c>
      <c r="F2">
        <v>0</v>
      </c>
      <c r="G2">
        <v>0</v>
      </c>
      <c r="I2">
        <v>1</v>
      </c>
      <c r="J2" t="b">
        <v>1</v>
      </c>
      <c r="K2" t="s">
        <v>460</v>
      </c>
      <c r="L2" t="b">
        <v>0</v>
      </c>
    </row>
    <row r="3" spans="1:12" x14ac:dyDescent="0.25">
      <c r="A3" s="1">
        <v>1</v>
      </c>
      <c r="B3" t="s">
        <v>10</v>
      </c>
      <c r="C3">
        <v>3</v>
      </c>
      <c r="D3" s="10">
        <v>623.94963329395887</v>
      </c>
      <c r="E3" s="10">
        <v>205.08232689590471</v>
      </c>
      <c r="F3">
        <v>0</v>
      </c>
      <c r="G3">
        <v>0</v>
      </c>
      <c r="I3">
        <v>1</v>
      </c>
      <c r="J3" t="b">
        <v>1</v>
      </c>
      <c r="K3" t="s">
        <v>460</v>
      </c>
      <c r="L3" t="b">
        <v>0</v>
      </c>
    </row>
    <row r="4" spans="1:12" x14ac:dyDescent="0.25">
      <c r="A4" s="1">
        <v>2</v>
      </c>
      <c r="B4" t="s">
        <v>11</v>
      </c>
      <c r="C4">
        <v>4</v>
      </c>
      <c r="D4" s="10">
        <v>212.67140575773459</v>
      </c>
      <c r="E4" s="10">
        <v>69.901710698611936</v>
      </c>
      <c r="F4">
        <v>0</v>
      </c>
      <c r="G4">
        <v>0</v>
      </c>
      <c r="I4">
        <v>1</v>
      </c>
      <c r="J4" t="b">
        <v>1</v>
      </c>
      <c r="K4" t="s">
        <v>460</v>
      </c>
      <c r="L4" t="b">
        <v>0</v>
      </c>
    </row>
    <row r="5" spans="1:12" x14ac:dyDescent="0.25">
      <c r="A5" s="1">
        <v>3</v>
      </c>
      <c r="B5" t="s">
        <v>12</v>
      </c>
      <c r="C5">
        <v>5</v>
      </c>
      <c r="D5" s="10">
        <v>89.182721070199122</v>
      </c>
      <c r="E5" s="10">
        <v>29.312942872374542</v>
      </c>
      <c r="F5">
        <v>0</v>
      </c>
      <c r="G5">
        <v>0</v>
      </c>
      <c r="I5">
        <v>1</v>
      </c>
      <c r="J5" t="b">
        <v>1</v>
      </c>
      <c r="K5" t="s">
        <v>460</v>
      </c>
      <c r="L5" t="b">
        <v>0</v>
      </c>
    </row>
    <row r="6" spans="1:12" x14ac:dyDescent="0.25">
      <c r="A6" s="1">
        <v>4</v>
      </c>
      <c r="B6" t="s">
        <v>13</v>
      </c>
      <c r="C6">
        <v>6</v>
      </c>
      <c r="D6" s="10">
        <v>771.92611919034357</v>
      </c>
      <c r="E6" s="10">
        <v>253.71984575027062</v>
      </c>
      <c r="F6">
        <v>0</v>
      </c>
      <c r="G6">
        <v>0</v>
      </c>
      <c r="I6">
        <v>1</v>
      </c>
      <c r="J6" t="b">
        <v>1</v>
      </c>
      <c r="K6" t="s">
        <v>460</v>
      </c>
      <c r="L6" t="b">
        <v>0</v>
      </c>
    </row>
    <row r="7" spans="1:12" x14ac:dyDescent="0.25">
      <c r="A7" s="1">
        <v>5</v>
      </c>
      <c r="B7" t="s">
        <v>15</v>
      </c>
      <c r="C7">
        <v>8</v>
      </c>
      <c r="D7" s="10">
        <v>131.27298629110308</v>
      </c>
      <c r="E7" s="10">
        <v>43.147344033248395</v>
      </c>
      <c r="F7">
        <v>0</v>
      </c>
      <c r="G7">
        <v>0</v>
      </c>
      <c r="I7">
        <v>1</v>
      </c>
      <c r="J7" t="b">
        <v>1</v>
      </c>
      <c r="K7" t="s">
        <v>460</v>
      </c>
      <c r="L7" t="b">
        <v>0</v>
      </c>
    </row>
    <row r="8" spans="1:12" x14ac:dyDescent="0.25">
      <c r="A8" s="1">
        <v>6</v>
      </c>
      <c r="B8" s="3" t="s">
        <v>16</v>
      </c>
      <c r="C8" s="3">
        <v>9</v>
      </c>
      <c r="D8" s="10">
        <v>431.29960976373513</v>
      </c>
      <c r="E8" s="10">
        <v>141.76132629918621</v>
      </c>
      <c r="F8">
        <v>0</v>
      </c>
      <c r="G8">
        <v>0</v>
      </c>
      <c r="I8">
        <v>1</v>
      </c>
      <c r="J8" t="b">
        <v>1</v>
      </c>
      <c r="K8" t="s">
        <v>460</v>
      </c>
      <c r="L8" t="b">
        <v>0</v>
      </c>
    </row>
    <row r="9" spans="1:12" x14ac:dyDescent="0.25">
      <c r="A9" s="1">
        <v>7</v>
      </c>
      <c r="B9" t="s">
        <v>17</v>
      </c>
      <c r="C9">
        <v>10</v>
      </c>
      <c r="D9" s="10">
        <v>1279.349812691089</v>
      </c>
      <c r="E9" s="10">
        <v>420.50194839511687</v>
      </c>
      <c r="F9">
        <v>0</v>
      </c>
      <c r="G9">
        <v>0</v>
      </c>
      <c r="I9">
        <v>1</v>
      </c>
      <c r="J9" t="b">
        <v>1</v>
      </c>
      <c r="K9" t="s">
        <v>460</v>
      </c>
      <c r="L9" t="b">
        <v>0</v>
      </c>
    </row>
    <row r="10" spans="1:12" x14ac:dyDescent="0.25">
      <c r="A10" s="1">
        <v>8</v>
      </c>
      <c r="B10" t="s">
        <v>18</v>
      </c>
      <c r="C10">
        <v>11</v>
      </c>
      <c r="D10" s="10">
        <v>536.52070970737816</v>
      </c>
      <c r="E10" s="10">
        <v>176.34582938009822</v>
      </c>
      <c r="F10">
        <v>0</v>
      </c>
      <c r="G10">
        <v>0</v>
      </c>
      <c r="I10">
        <v>1</v>
      </c>
      <c r="J10" t="b">
        <v>1</v>
      </c>
      <c r="K10" t="s">
        <v>460</v>
      </c>
      <c r="L10" t="b">
        <v>0</v>
      </c>
    </row>
    <row r="11" spans="1:12" x14ac:dyDescent="0.25">
      <c r="A11" s="1">
        <v>9</v>
      </c>
      <c r="B11" t="s">
        <v>19</v>
      </c>
      <c r="C11">
        <v>12</v>
      </c>
      <c r="D11" s="10">
        <v>394.43092900337837</v>
      </c>
      <c r="E11" s="10">
        <v>129.64317695434315</v>
      </c>
      <c r="F11">
        <v>0</v>
      </c>
      <c r="G11">
        <v>0</v>
      </c>
      <c r="I11">
        <v>1</v>
      </c>
      <c r="J11" t="b">
        <v>1</v>
      </c>
      <c r="K11" t="s">
        <v>460</v>
      </c>
      <c r="L11" t="b">
        <v>0</v>
      </c>
    </row>
    <row r="12" spans="1:12" x14ac:dyDescent="0.25">
      <c r="A12" s="1">
        <v>10</v>
      </c>
      <c r="B12" t="s">
        <v>20</v>
      </c>
      <c r="C12">
        <v>13</v>
      </c>
      <c r="D12" s="10">
        <v>162.83886743416596</v>
      </c>
      <c r="E12" s="10">
        <v>53.522547430938374</v>
      </c>
      <c r="F12">
        <v>0</v>
      </c>
      <c r="G12">
        <v>0</v>
      </c>
      <c r="I12">
        <v>1</v>
      </c>
      <c r="J12" t="b">
        <v>1</v>
      </c>
      <c r="K12" t="s">
        <v>460</v>
      </c>
      <c r="L12" t="b">
        <v>0</v>
      </c>
    </row>
    <row r="13" spans="1:12" x14ac:dyDescent="0.25">
      <c r="A13" s="1">
        <v>11</v>
      </c>
      <c r="B13" t="s">
        <v>21</v>
      </c>
      <c r="C13">
        <v>14</v>
      </c>
      <c r="D13" s="10">
        <v>217.11851654625229</v>
      </c>
      <c r="E13" s="10">
        <v>71.363405328767143</v>
      </c>
      <c r="F13">
        <v>0</v>
      </c>
      <c r="G13">
        <v>0</v>
      </c>
      <c r="I13">
        <v>1</v>
      </c>
      <c r="J13" t="b">
        <v>1</v>
      </c>
      <c r="K13" t="s">
        <v>460</v>
      </c>
      <c r="L13" t="b">
        <v>0</v>
      </c>
    </row>
    <row r="14" spans="1:12" x14ac:dyDescent="0.25">
      <c r="A14" s="1">
        <v>12</v>
      </c>
      <c r="B14" t="s">
        <v>22</v>
      </c>
      <c r="C14">
        <v>15</v>
      </c>
      <c r="D14" s="10">
        <v>361.86502578473227</v>
      </c>
      <c r="E14" s="10">
        <v>118.93928219558099</v>
      </c>
      <c r="F14">
        <v>0</v>
      </c>
      <c r="G14">
        <v>0</v>
      </c>
      <c r="I14">
        <v>1</v>
      </c>
      <c r="J14" t="b">
        <v>1</v>
      </c>
      <c r="K14" t="s">
        <v>460</v>
      </c>
      <c r="L14" t="b">
        <v>0</v>
      </c>
    </row>
    <row r="15" spans="1:12" x14ac:dyDescent="0.25">
      <c r="A15" s="1">
        <v>13</v>
      </c>
      <c r="B15" t="s">
        <v>23</v>
      </c>
      <c r="C15">
        <v>16</v>
      </c>
      <c r="D15" s="10">
        <v>438.61630700408972</v>
      </c>
      <c r="E15" s="10">
        <v>144.16620838449683</v>
      </c>
      <c r="F15">
        <v>0</v>
      </c>
      <c r="G15">
        <v>0</v>
      </c>
      <c r="I15">
        <v>1</v>
      </c>
      <c r="J15" t="b">
        <v>1</v>
      </c>
      <c r="K15" t="s">
        <v>460</v>
      </c>
      <c r="L15" t="b">
        <v>0</v>
      </c>
    </row>
    <row r="16" spans="1:12" x14ac:dyDescent="0.25">
      <c r="A16" s="1">
        <v>14</v>
      </c>
      <c r="B16" t="s">
        <v>24</v>
      </c>
      <c r="C16">
        <v>17</v>
      </c>
      <c r="D16" s="10">
        <v>2290.1741994434283</v>
      </c>
      <c r="E16" s="10">
        <v>752.7438574477826</v>
      </c>
      <c r="F16">
        <v>0</v>
      </c>
      <c r="G16">
        <v>0</v>
      </c>
      <c r="I16">
        <v>1</v>
      </c>
      <c r="J16" t="b">
        <v>1</v>
      </c>
      <c r="K16" t="s">
        <v>460</v>
      </c>
      <c r="L16" t="b">
        <v>0</v>
      </c>
    </row>
    <row r="17" spans="1:12" x14ac:dyDescent="0.25">
      <c r="A17" s="1">
        <v>15</v>
      </c>
      <c r="B17" t="s">
        <v>26</v>
      </c>
      <c r="C17">
        <v>19</v>
      </c>
      <c r="D17" s="10">
        <v>349.07178925691517</v>
      </c>
      <c r="E17" s="10">
        <v>114.73434869509387</v>
      </c>
      <c r="F17">
        <v>0</v>
      </c>
      <c r="G17">
        <v>0</v>
      </c>
      <c r="I17">
        <v>1</v>
      </c>
      <c r="J17" t="b">
        <v>1</v>
      </c>
      <c r="K17" t="s">
        <v>460</v>
      </c>
      <c r="L17" t="b">
        <v>0</v>
      </c>
    </row>
    <row r="18" spans="1:12" x14ac:dyDescent="0.25">
      <c r="A18" s="1">
        <v>16</v>
      </c>
      <c r="B18" t="s">
        <v>29</v>
      </c>
      <c r="C18">
        <v>22</v>
      </c>
      <c r="D18" s="10">
        <v>3049.2633472391531</v>
      </c>
      <c r="E18" s="10">
        <v>1002.2443947420063</v>
      </c>
      <c r="F18">
        <v>0</v>
      </c>
      <c r="G18">
        <v>0</v>
      </c>
      <c r="I18">
        <v>1</v>
      </c>
      <c r="J18" t="b">
        <v>1</v>
      </c>
      <c r="K18" t="s">
        <v>460</v>
      </c>
      <c r="L18" t="b">
        <v>0</v>
      </c>
    </row>
    <row r="19" spans="1:12" x14ac:dyDescent="0.25">
      <c r="A19" s="1">
        <v>17</v>
      </c>
      <c r="B19" t="s">
        <v>30</v>
      </c>
      <c r="C19">
        <v>23</v>
      </c>
      <c r="D19" s="10">
        <v>173.83826945472302</v>
      </c>
      <c r="E19" s="10">
        <v>57.137876041567743</v>
      </c>
      <c r="F19">
        <v>0</v>
      </c>
      <c r="G19">
        <v>0</v>
      </c>
      <c r="I19">
        <v>1</v>
      </c>
      <c r="J19" t="b">
        <v>1</v>
      </c>
      <c r="K19" t="s">
        <v>460</v>
      </c>
      <c r="L19" t="b">
        <v>0</v>
      </c>
    </row>
    <row r="20" spans="1:12" x14ac:dyDescent="0.25">
      <c r="A20" s="1">
        <v>18</v>
      </c>
      <c r="B20" t="s">
        <v>31</v>
      </c>
      <c r="C20">
        <v>24</v>
      </c>
      <c r="D20" s="10">
        <v>295.41472028261876</v>
      </c>
      <c r="E20" s="10">
        <v>97.098122992756714</v>
      </c>
      <c r="F20">
        <v>0</v>
      </c>
      <c r="G20">
        <v>0</v>
      </c>
      <c r="I20">
        <v>1</v>
      </c>
      <c r="J20" t="b">
        <v>1</v>
      </c>
      <c r="K20" t="s">
        <v>460</v>
      </c>
      <c r="L20" t="b">
        <v>0</v>
      </c>
    </row>
    <row r="21" spans="1:12" x14ac:dyDescent="0.25">
      <c r="A21" s="1">
        <v>19</v>
      </c>
      <c r="B21" t="s">
        <v>32</v>
      </c>
      <c r="C21">
        <v>25</v>
      </c>
      <c r="D21" s="10">
        <v>504.72615270952792</v>
      </c>
      <c r="E21" s="10">
        <v>165.89546386370142</v>
      </c>
      <c r="F21">
        <v>0</v>
      </c>
      <c r="G21">
        <v>0</v>
      </c>
      <c r="I21">
        <v>1</v>
      </c>
      <c r="J21" t="b">
        <v>1</v>
      </c>
      <c r="K21" t="s">
        <v>460</v>
      </c>
      <c r="L21" t="b">
        <v>0</v>
      </c>
    </row>
    <row r="22" spans="1:12" x14ac:dyDescent="0.25">
      <c r="A22" s="1">
        <v>20</v>
      </c>
      <c r="B22" t="s">
        <v>33</v>
      </c>
      <c r="C22">
        <v>26</v>
      </c>
      <c r="D22" s="10">
        <v>1762.0379899458603</v>
      </c>
      <c r="E22" s="10">
        <v>579.15388001651775</v>
      </c>
      <c r="F22">
        <v>0</v>
      </c>
      <c r="G22">
        <v>0</v>
      </c>
      <c r="I22">
        <v>1</v>
      </c>
      <c r="J22" t="b">
        <v>1</v>
      </c>
      <c r="K22" t="s">
        <v>460</v>
      </c>
      <c r="L22" t="b">
        <v>0</v>
      </c>
    </row>
    <row r="23" spans="1:12" x14ac:dyDescent="0.25">
      <c r="A23" s="1">
        <v>21</v>
      </c>
      <c r="B23" t="s">
        <v>35</v>
      </c>
      <c r="C23">
        <v>28</v>
      </c>
      <c r="D23" s="10">
        <v>271.39816565833854</v>
      </c>
      <c r="E23" s="10">
        <v>89.204263226595884</v>
      </c>
      <c r="F23">
        <v>0</v>
      </c>
      <c r="G23">
        <v>0</v>
      </c>
      <c r="I23">
        <v>1</v>
      </c>
      <c r="J23" t="b">
        <v>1</v>
      </c>
      <c r="K23" t="s">
        <v>460</v>
      </c>
      <c r="L23" t="b">
        <v>0</v>
      </c>
    </row>
    <row r="24" spans="1:12" x14ac:dyDescent="0.25">
      <c r="A24" s="1">
        <v>22</v>
      </c>
      <c r="B24" t="s">
        <v>36</v>
      </c>
      <c r="C24">
        <v>29</v>
      </c>
      <c r="D24" s="10">
        <v>4226.2179840511444</v>
      </c>
      <c r="E24" s="10">
        <v>1389.09067637867</v>
      </c>
      <c r="F24">
        <v>0</v>
      </c>
      <c r="G24">
        <v>0</v>
      </c>
      <c r="I24">
        <v>1</v>
      </c>
      <c r="J24" t="b">
        <v>1</v>
      </c>
      <c r="K24" t="s">
        <v>460</v>
      </c>
      <c r="L24" t="b">
        <v>0</v>
      </c>
    </row>
    <row r="25" spans="1:12" x14ac:dyDescent="0.25">
      <c r="A25" s="1">
        <v>23</v>
      </c>
      <c r="B25" t="s">
        <v>37</v>
      </c>
      <c r="C25">
        <v>30</v>
      </c>
      <c r="D25" s="10">
        <v>450.63621855607926</v>
      </c>
      <c r="E25" s="10">
        <v>148.11696225729156</v>
      </c>
      <c r="F25">
        <v>0</v>
      </c>
      <c r="G25">
        <v>0</v>
      </c>
      <c r="I25">
        <v>1</v>
      </c>
      <c r="J25" t="b">
        <v>1</v>
      </c>
      <c r="K25" t="s">
        <v>460</v>
      </c>
      <c r="L25" t="b">
        <v>0</v>
      </c>
    </row>
    <row r="26" spans="1:12" x14ac:dyDescent="0.25">
      <c r="A26" s="1">
        <v>24</v>
      </c>
      <c r="B26" t="s">
        <v>38</v>
      </c>
      <c r="C26">
        <v>31</v>
      </c>
      <c r="D26" s="10">
        <v>197.21546450168918</v>
      </c>
      <c r="E26" s="10">
        <v>64.821588477171574</v>
      </c>
      <c r="F26">
        <v>0</v>
      </c>
      <c r="G26">
        <v>0</v>
      </c>
      <c r="I26">
        <v>1</v>
      </c>
      <c r="J26" t="b">
        <v>1</v>
      </c>
      <c r="K26" t="s">
        <v>460</v>
      </c>
      <c r="L26" t="b">
        <v>0</v>
      </c>
    </row>
    <row r="27" spans="1:12" x14ac:dyDescent="0.25">
      <c r="A27" s="1">
        <v>25</v>
      </c>
      <c r="B27" t="s">
        <v>39</v>
      </c>
      <c r="C27">
        <v>32</v>
      </c>
      <c r="D27" s="10">
        <v>4199.7475334454093</v>
      </c>
      <c r="E27" s="10">
        <v>1380.3902600076419</v>
      </c>
      <c r="F27">
        <v>0</v>
      </c>
      <c r="G27">
        <v>0</v>
      </c>
      <c r="I27">
        <v>1</v>
      </c>
      <c r="J27" t="b">
        <v>1</v>
      </c>
      <c r="K27" t="s">
        <v>460</v>
      </c>
      <c r="L27" t="b">
        <v>0</v>
      </c>
    </row>
    <row r="28" spans="1:12" x14ac:dyDescent="0.25">
      <c r="A28" s="1">
        <v>26</v>
      </c>
      <c r="B28" t="s">
        <v>40</v>
      </c>
      <c r="C28">
        <v>33</v>
      </c>
      <c r="D28" s="10">
        <v>368.12976608905291</v>
      </c>
      <c r="E28" s="10">
        <v>120.99840275668457</v>
      </c>
      <c r="F28">
        <v>0</v>
      </c>
      <c r="G28">
        <v>0</v>
      </c>
      <c r="I28">
        <v>1</v>
      </c>
      <c r="J28" t="b">
        <v>1</v>
      </c>
      <c r="K28" t="s">
        <v>460</v>
      </c>
      <c r="L28" t="b">
        <v>0</v>
      </c>
    </row>
    <row r="29" spans="1:12" x14ac:dyDescent="0.25">
      <c r="A29" s="1">
        <v>27</v>
      </c>
      <c r="B29" t="s">
        <v>41</v>
      </c>
      <c r="C29">
        <v>34</v>
      </c>
      <c r="D29" s="10">
        <v>1043.7581958854707</v>
      </c>
      <c r="E29" s="10">
        <v>343.06672863772059</v>
      </c>
      <c r="F29">
        <v>0</v>
      </c>
      <c r="G29">
        <v>0</v>
      </c>
      <c r="I29">
        <v>1</v>
      </c>
      <c r="J29" t="b">
        <v>1</v>
      </c>
      <c r="K29" t="s">
        <v>460</v>
      </c>
      <c r="L29" t="b">
        <v>0</v>
      </c>
    </row>
    <row r="30" spans="1:12" x14ac:dyDescent="0.25">
      <c r="A30" s="1">
        <v>28</v>
      </c>
      <c r="B30" t="s">
        <v>250</v>
      </c>
      <c r="C30">
        <v>46</v>
      </c>
      <c r="D30" s="10">
        <v>370.08210406859536</v>
      </c>
      <c r="E30" s="10">
        <v>121.6401052184972</v>
      </c>
      <c r="F30">
        <v>0</v>
      </c>
      <c r="G30">
        <v>0</v>
      </c>
      <c r="I30">
        <v>1</v>
      </c>
      <c r="J30" t="b">
        <v>1</v>
      </c>
      <c r="K30" t="s">
        <v>460</v>
      </c>
      <c r="L30" t="b">
        <v>0</v>
      </c>
    </row>
    <row r="31" spans="1:12" x14ac:dyDescent="0.25">
      <c r="A31" s="1">
        <v>29</v>
      </c>
      <c r="B31" t="s">
        <v>252</v>
      </c>
      <c r="C31">
        <v>47</v>
      </c>
      <c r="D31" s="10">
        <v>123.36070135619845</v>
      </c>
      <c r="E31" s="10">
        <v>40.546701739499063</v>
      </c>
      <c r="F31">
        <v>0</v>
      </c>
      <c r="G31">
        <v>0</v>
      </c>
      <c r="I31">
        <v>1</v>
      </c>
      <c r="J31" t="b">
        <v>1</v>
      </c>
      <c r="K31" t="s">
        <v>460</v>
      </c>
      <c r="L31" t="b">
        <v>0</v>
      </c>
    </row>
    <row r="32" spans="1:12" x14ac:dyDescent="0.25">
      <c r="A32" s="1">
        <v>30</v>
      </c>
      <c r="B32" t="s">
        <v>254</v>
      </c>
      <c r="C32">
        <v>48</v>
      </c>
      <c r="D32" s="10">
        <v>185.04105203429768</v>
      </c>
      <c r="E32" s="10">
        <v>60.820052609248599</v>
      </c>
      <c r="F32">
        <v>0</v>
      </c>
      <c r="G32">
        <v>0</v>
      </c>
      <c r="I32">
        <v>1</v>
      </c>
      <c r="J32" t="b">
        <v>1</v>
      </c>
      <c r="K32" t="s">
        <v>460</v>
      </c>
      <c r="L32" t="b">
        <v>0</v>
      </c>
    </row>
    <row r="33" spans="1:15" x14ac:dyDescent="0.25">
      <c r="A33" s="1">
        <v>31</v>
      </c>
      <c r="B33" t="s">
        <v>256</v>
      </c>
      <c r="C33">
        <v>49</v>
      </c>
      <c r="D33" s="10">
        <v>246.72140271239689</v>
      </c>
      <c r="E33" s="10">
        <v>81.093403478998127</v>
      </c>
      <c r="F33">
        <v>0</v>
      </c>
      <c r="G33">
        <v>0</v>
      </c>
      <c r="I33">
        <v>1</v>
      </c>
      <c r="J33" t="b">
        <v>1</v>
      </c>
      <c r="K33" t="s">
        <v>460</v>
      </c>
      <c r="L33" t="b">
        <v>0</v>
      </c>
    </row>
    <row r="34" spans="1:15" x14ac:dyDescent="0.25">
      <c r="A34" s="1">
        <v>32</v>
      </c>
      <c r="B34" t="s">
        <v>258</v>
      </c>
      <c r="C34">
        <v>50</v>
      </c>
      <c r="D34" s="10">
        <v>370.08210406859536</v>
      </c>
      <c r="E34" s="10">
        <v>121.6401052184972</v>
      </c>
      <c r="F34">
        <v>0</v>
      </c>
      <c r="G34">
        <v>0</v>
      </c>
      <c r="I34">
        <v>1</v>
      </c>
      <c r="J34" t="b">
        <v>1</v>
      </c>
      <c r="K34" t="s">
        <v>460</v>
      </c>
      <c r="L34" t="b">
        <v>0</v>
      </c>
    </row>
    <row r="35" spans="1:15" x14ac:dyDescent="0.25">
      <c r="A35" s="1">
        <v>33</v>
      </c>
      <c r="B35" t="s">
        <v>260</v>
      </c>
      <c r="C35">
        <v>51</v>
      </c>
      <c r="D35" s="10">
        <v>493.44280542479402</v>
      </c>
      <c r="E35" s="10">
        <v>162.18680695799625</v>
      </c>
      <c r="F35">
        <v>0</v>
      </c>
      <c r="G35">
        <v>0</v>
      </c>
      <c r="I35">
        <v>1</v>
      </c>
      <c r="J35" t="b">
        <v>1</v>
      </c>
      <c r="K35" t="s">
        <v>460</v>
      </c>
      <c r="L35" t="b">
        <v>0</v>
      </c>
    </row>
    <row r="36" spans="1:15" x14ac:dyDescent="0.25">
      <c r="A36" s="1">
        <v>34</v>
      </c>
      <c r="B36" t="s">
        <v>262</v>
      </c>
      <c r="C36">
        <v>52</v>
      </c>
      <c r="D36" s="10">
        <v>123.36070135619845</v>
      </c>
      <c r="E36" s="10">
        <v>40.546701739499063</v>
      </c>
      <c r="F36">
        <v>0</v>
      </c>
      <c r="G36">
        <v>0</v>
      </c>
      <c r="I36">
        <v>1</v>
      </c>
      <c r="J36" t="b">
        <v>1</v>
      </c>
      <c r="K36" t="s">
        <v>460</v>
      </c>
      <c r="L36" t="b">
        <v>0</v>
      </c>
    </row>
    <row r="37" spans="1:15" x14ac:dyDescent="0.25">
      <c r="A37" s="1">
        <v>35</v>
      </c>
      <c r="B37" t="s">
        <v>91</v>
      </c>
      <c r="C37" s="15">
        <v>38</v>
      </c>
      <c r="D37" s="16">
        <v>599.25759999999991</v>
      </c>
      <c r="E37" s="16">
        <v>196.96644802763311</v>
      </c>
      <c r="F37">
        <v>0</v>
      </c>
      <c r="G37">
        <v>0</v>
      </c>
      <c r="I37">
        <v>1</v>
      </c>
      <c r="J37" t="b">
        <v>1</v>
      </c>
      <c r="K37" t="s">
        <v>460</v>
      </c>
      <c r="L37" t="b">
        <v>0</v>
      </c>
      <c r="O37" s="17"/>
    </row>
    <row r="38" spans="1:15" x14ac:dyDescent="0.25">
      <c r="A38" s="1">
        <v>36</v>
      </c>
      <c r="B38" t="s">
        <v>92</v>
      </c>
      <c r="C38" s="15">
        <v>39</v>
      </c>
      <c r="D38" s="16">
        <v>599.25759999999991</v>
      </c>
      <c r="E38" s="16">
        <v>196.96644802763311</v>
      </c>
      <c r="F38">
        <v>0</v>
      </c>
      <c r="G38">
        <v>0</v>
      </c>
      <c r="I38">
        <v>1</v>
      </c>
      <c r="J38" t="b">
        <v>1</v>
      </c>
      <c r="K38" t="s">
        <v>460</v>
      </c>
      <c r="L38" t="b">
        <v>0</v>
      </c>
      <c r="O38" s="17"/>
    </row>
    <row r="39" spans="1:15" x14ac:dyDescent="0.25">
      <c r="A39" s="1">
        <v>37</v>
      </c>
      <c r="B39" t="s">
        <v>94</v>
      </c>
      <c r="C39" s="15">
        <v>41</v>
      </c>
      <c r="D39" s="16">
        <v>599.25759999999991</v>
      </c>
      <c r="E39" s="16">
        <v>196.96644802763311</v>
      </c>
      <c r="F39">
        <v>0</v>
      </c>
      <c r="G39">
        <v>0</v>
      </c>
      <c r="I39">
        <v>1</v>
      </c>
      <c r="J39" t="b">
        <v>1</v>
      </c>
      <c r="K39" t="s">
        <v>460</v>
      </c>
      <c r="L39" t="b">
        <v>0</v>
      </c>
      <c r="O39" s="17"/>
    </row>
    <row r="40" spans="1:15" x14ac:dyDescent="0.25">
      <c r="A40" s="1">
        <v>38</v>
      </c>
      <c r="B40" t="s">
        <v>95</v>
      </c>
      <c r="C40" s="15">
        <v>42</v>
      </c>
      <c r="D40" s="16">
        <v>599.25759999999991</v>
      </c>
      <c r="E40" s="16">
        <v>196.96644802763311</v>
      </c>
      <c r="F40">
        <v>0</v>
      </c>
      <c r="G40">
        <v>0</v>
      </c>
      <c r="I40">
        <v>1</v>
      </c>
      <c r="J40" t="b">
        <v>1</v>
      </c>
      <c r="K40" t="s">
        <v>460</v>
      </c>
      <c r="L40" t="b">
        <v>0</v>
      </c>
      <c r="O40" s="17"/>
    </row>
    <row r="41" spans="1:15" x14ac:dyDescent="0.25">
      <c r="A41" s="1">
        <v>39</v>
      </c>
      <c r="B41" t="s">
        <v>96</v>
      </c>
      <c r="C41" s="15">
        <v>43</v>
      </c>
      <c r="D41" s="16">
        <v>522.06799999999998</v>
      </c>
      <c r="E41" s="16">
        <v>171.59545342251874</v>
      </c>
      <c r="F41">
        <v>0</v>
      </c>
      <c r="G41">
        <v>0</v>
      </c>
      <c r="I41">
        <v>1</v>
      </c>
      <c r="J41" t="b">
        <v>1</v>
      </c>
      <c r="K41" t="s">
        <v>460</v>
      </c>
      <c r="L41" t="b">
        <v>0</v>
      </c>
      <c r="O41" s="17"/>
    </row>
    <row r="42" spans="1:15" x14ac:dyDescent="0.25">
      <c r="A42" s="1">
        <v>40</v>
      </c>
      <c r="B42" t="s">
        <v>97</v>
      </c>
      <c r="C42" s="15">
        <v>44</v>
      </c>
      <c r="D42" s="16">
        <v>422.06799999999998</v>
      </c>
      <c r="E42" s="16">
        <v>138.72704290463244</v>
      </c>
      <c r="F42">
        <v>0</v>
      </c>
      <c r="G42">
        <v>0</v>
      </c>
      <c r="I42">
        <v>1</v>
      </c>
      <c r="J42" t="b">
        <v>1</v>
      </c>
      <c r="K42" t="s">
        <v>460</v>
      </c>
      <c r="L42" t="b">
        <v>0</v>
      </c>
      <c r="O42" s="17"/>
    </row>
    <row r="43" spans="1:15" x14ac:dyDescent="0.25">
      <c r="A43" s="1">
        <v>41</v>
      </c>
      <c r="B43" t="s">
        <v>42</v>
      </c>
      <c r="C43" s="15">
        <v>35</v>
      </c>
      <c r="D43" s="16">
        <v>100</v>
      </c>
      <c r="E43" s="16">
        <v>32.868410517886325</v>
      </c>
      <c r="F43">
        <v>0</v>
      </c>
      <c r="G43">
        <v>0</v>
      </c>
      <c r="I43">
        <v>1</v>
      </c>
      <c r="J43" t="b">
        <v>1</v>
      </c>
      <c r="K43" t="s">
        <v>460</v>
      </c>
      <c r="L43" t="b">
        <v>0</v>
      </c>
    </row>
    <row r="44" spans="1:15" x14ac:dyDescent="0.25">
      <c r="A44" s="1">
        <v>42</v>
      </c>
      <c r="B44" t="s">
        <v>43</v>
      </c>
      <c r="C44" s="15">
        <v>36</v>
      </c>
      <c r="D44" s="16">
        <v>203.98</v>
      </c>
      <c r="E44" s="16">
        <v>67.044983774384519</v>
      </c>
      <c r="F44">
        <v>0</v>
      </c>
      <c r="G44">
        <v>0</v>
      </c>
      <c r="I44">
        <v>1</v>
      </c>
      <c r="J44" t="b">
        <v>1</v>
      </c>
      <c r="K44" t="s">
        <v>460</v>
      </c>
      <c r="L44" t="b">
        <v>0</v>
      </c>
      <c r="O44" s="17"/>
    </row>
    <row r="45" spans="1:15" x14ac:dyDescent="0.25">
      <c r="A45" s="1">
        <v>43</v>
      </c>
      <c r="B45" t="s">
        <v>44</v>
      </c>
      <c r="C45" s="15">
        <v>37</v>
      </c>
      <c r="D45" s="16">
        <v>100</v>
      </c>
      <c r="E45" s="16">
        <v>32.868410517886325</v>
      </c>
      <c r="F45">
        <v>0</v>
      </c>
      <c r="G45">
        <v>0</v>
      </c>
      <c r="I45">
        <v>1</v>
      </c>
      <c r="J45" t="b">
        <v>1</v>
      </c>
      <c r="K45" t="s">
        <v>460</v>
      </c>
      <c r="L45" t="b">
        <v>0</v>
      </c>
    </row>
    <row r="46" spans="1:15" x14ac:dyDescent="0.25">
      <c r="A46" s="1">
        <v>44</v>
      </c>
      <c r="B46" t="s">
        <v>93</v>
      </c>
      <c r="C46" s="15">
        <v>40</v>
      </c>
      <c r="D46" s="16">
        <v>599.25759999999991</v>
      </c>
      <c r="E46" s="16">
        <v>196.96644802763311</v>
      </c>
      <c r="F46">
        <v>0</v>
      </c>
      <c r="G46">
        <v>0</v>
      </c>
      <c r="I46">
        <v>1</v>
      </c>
      <c r="J46" t="b">
        <v>1</v>
      </c>
      <c r="K46" t="s">
        <v>460</v>
      </c>
      <c r="L46" t="b">
        <v>0</v>
      </c>
      <c r="O46" s="17"/>
    </row>
    <row r="48" spans="1:15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1"/>
  <sheetViews>
    <sheetView workbookViewId="0">
      <pane ySplit="1" topLeftCell="A85" activePane="bottomLeft" state="frozen"/>
      <selection pane="bottomLeft" activeCell="R93" sqref="R93"/>
    </sheetView>
  </sheetViews>
  <sheetFormatPr defaultRowHeight="15" x14ac:dyDescent="0.25"/>
  <cols>
    <col min="2" max="2" width="43.5703125" bestFit="1" customWidth="1"/>
    <col min="13" max="13" width="24.7109375" bestFit="1" customWidth="1"/>
  </cols>
  <sheetData>
    <row r="1" spans="1:16" x14ac:dyDescent="0.25"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4</v>
      </c>
      <c r="L1" s="1" t="s">
        <v>106</v>
      </c>
      <c r="M1" s="1" t="s">
        <v>2</v>
      </c>
      <c r="N1" s="1" t="s">
        <v>107</v>
      </c>
      <c r="O1" s="1" t="s">
        <v>108</v>
      </c>
      <c r="P1" s="1" t="s">
        <v>109</v>
      </c>
    </row>
    <row r="2" spans="1:16" x14ac:dyDescent="0.25">
      <c r="A2" s="1">
        <v>0</v>
      </c>
      <c r="B2" t="s">
        <v>91</v>
      </c>
      <c r="C2">
        <v>38</v>
      </c>
      <c r="D2" s="16">
        <f>0.05*2000</f>
        <v>100</v>
      </c>
      <c r="E2">
        <v>1</v>
      </c>
      <c r="G2">
        <v>-5000</v>
      </c>
      <c r="H2">
        <v>5000</v>
      </c>
      <c r="I2">
        <v>1</v>
      </c>
      <c r="J2" t="b">
        <v>0</v>
      </c>
      <c r="K2" t="b">
        <v>1</v>
      </c>
      <c r="L2">
        <v>0</v>
      </c>
      <c r="M2" t="s">
        <v>114</v>
      </c>
      <c r="N2" t="b">
        <v>1</v>
      </c>
      <c r="O2">
        <v>-1972</v>
      </c>
      <c r="P2">
        <v>1972</v>
      </c>
    </row>
    <row r="3" spans="1:16" x14ac:dyDescent="0.25">
      <c r="A3" s="1">
        <v>1</v>
      </c>
      <c r="B3" t="s">
        <v>92</v>
      </c>
      <c r="C3">
        <v>39</v>
      </c>
      <c r="D3" s="16">
        <f t="shared" ref="D3:D9" si="0">0.05*2000</f>
        <v>100</v>
      </c>
      <c r="E3">
        <v>1</v>
      </c>
      <c r="G3">
        <v>-5000</v>
      </c>
      <c r="H3">
        <v>5000</v>
      </c>
      <c r="I3">
        <v>1</v>
      </c>
      <c r="J3" t="b">
        <v>0</v>
      </c>
      <c r="K3" t="b">
        <v>1</v>
      </c>
      <c r="L3">
        <v>0</v>
      </c>
      <c r="M3" t="s">
        <v>114</v>
      </c>
      <c r="N3" t="b">
        <v>1</v>
      </c>
      <c r="O3">
        <v>-1972</v>
      </c>
      <c r="P3">
        <v>1972</v>
      </c>
    </row>
    <row r="4" spans="1:16" x14ac:dyDescent="0.25">
      <c r="A4" s="1">
        <v>2</v>
      </c>
      <c r="B4" t="s">
        <v>94</v>
      </c>
      <c r="C4">
        <v>41</v>
      </c>
      <c r="D4" s="16">
        <f t="shared" si="0"/>
        <v>100</v>
      </c>
      <c r="E4">
        <v>1</v>
      </c>
      <c r="G4">
        <v>-5000</v>
      </c>
      <c r="H4">
        <v>5000</v>
      </c>
      <c r="I4">
        <v>1</v>
      </c>
      <c r="J4" t="b">
        <v>0</v>
      </c>
      <c r="K4" t="b">
        <v>1</v>
      </c>
      <c r="L4">
        <v>0</v>
      </c>
      <c r="M4" t="s">
        <v>114</v>
      </c>
      <c r="N4" t="b">
        <v>1</v>
      </c>
      <c r="O4">
        <v>-986</v>
      </c>
      <c r="P4">
        <v>986</v>
      </c>
    </row>
    <row r="5" spans="1:16" x14ac:dyDescent="0.25">
      <c r="A5" s="1">
        <v>3</v>
      </c>
      <c r="B5" t="s">
        <v>95</v>
      </c>
      <c r="C5">
        <v>42</v>
      </c>
      <c r="D5" s="16">
        <f t="shared" si="0"/>
        <v>100</v>
      </c>
      <c r="E5">
        <v>1</v>
      </c>
      <c r="G5">
        <v>-5000</v>
      </c>
      <c r="H5">
        <v>5000</v>
      </c>
      <c r="I5">
        <v>1</v>
      </c>
      <c r="J5" t="b">
        <v>0</v>
      </c>
      <c r="K5" t="b">
        <v>1</v>
      </c>
      <c r="L5">
        <v>0</v>
      </c>
      <c r="M5" t="s">
        <v>114</v>
      </c>
      <c r="N5" t="b">
        <v>1</v>
      </c>
      <c r="O5">
        <v>-986</v>
      </c>
      <c r="P5">
        <v>986</v>
      </c>
    </row>
    <row r="6" spans="1:16" x14ac:dyDescent="0.25">
      <c r="A6" s="1">
        <v>4</v>
      </c>
      <c r="B6" t="s">
        <v>110</v>
      </c>
      <c r="C6">
        <v>43</v>
      </c>
      <c r="D6" s="16">
        <f t="shared" si="0"/>
        <v>100</v>
      </c>
      <c r="E6">
        <v>1</v>
      </c>
      <c r="G6">
        <v>-5000</v>
      </c>
      <c r="H6">
        <v>5000</v>
      </c>
      <c r="I6">
        <v>1</v>
      </c>
      <c r="J6" t="b">
        <v>0</v>
      </c>
      <c r="K6" t="b">
        <v>1</v>
      </c>
      <c r="L6">
        <v>0</v>
      </c>
      <c r="M6" t="s">
        <v>114</v>
      </c>
      <c r="N6" t="b">
        <v>1</v>
      </c>
      <c r="O6">
        <v>-1128</v>
      </c>
      <c r="P6">
        <v>1128</v>
      </c>
    </row>
    <row r="7" spans="1:16" x14ac:dyDescent="0.25">
      <c r="A7" s="1">
        <v>5</v>
      </c>
      <c r="B7" t="s">
        <v>97</v>
      </c>
      <c r="C7">
        <v>44</v>
      </c>
      <c r="D7" s="16">
        <f t="shared" si="0"/>
        <v>100</v>
      </c>
      <c r="E7">
        <v>1</v>
      </c>
      <c r="G7">
        <v>-5000</v>
      </c>
      <c r="H7">
        <v>5000</v>
      </c>
      <c r="I7">
        <v>1</v>
      </c>
      <c r="J7" t="b">
        <v>0</v>
      </c>
      <c r="K7" t="b">
        <v>1</v>
      </c>
      <c r="L7">
        <v>0</v>
      </c>
      <c r="M7" t="s">
        <v>114</v>
      </c>
      <c r="N7" t="b">
        <v>1</v>
      </c>
      <c r="O7">
        <v>-1128</v>
      </c>
      <c r="P7">
        <v>1128</v>
      </c>
    </row>
    <row r="8" spans="1:16" x14ac:dyDescent="0.25">
      <c r="A8" s="1">
        <v>6</v>
      </c>
      <c r="B8" t="s">
        <v>111</v>
      </c>
      <c r="C8">
        <v>35</v>
      </c>
      <c r="D8" s="16">
        <f>0.050432*2000</f>
        <v>100.86399999999999</v>
      </c>
      <c r="E8">
        <v>1</v>
      </c>
      <c r="G8">
        <v>-5000</v>
      </c>
      <c r="H8">
        <v>5000</v>
      </c>
      <c r="I8">
        <v>1</v>
      </c>
      <c r="J8" t="b">
        <v>0</v>
      </c>
      <c r="K8" t="b">
        <v>1</v>
      </c>
      <c r="L8">
        <v>0</v>
      </c>
      <c r="M8" t="s">
        <v>114</v>
      </c>
      <c r="N8" t="b">
        <v>1</v>
      </c>
      <c r="O8">
        <v>-1000</v>
      </c>
      <c r="P8">
        <v>1000</v>
      </c>
    </row>
    <row r="9" spans="1:16" x14ac:dyDescent="0.25">
      <c r="A9" s="1">
        <v>7</v>
      </c>
      <c r="B9" t="s">
        <v>112</v>
      </c>
      <c r="C9">
        <v>36</v>
      </c>
      <c r="D9" s="16">
        <f t="shared" si="0"/>
        <v>100</v>
      </c>
      <c r="E9">
        <v>1</v>
      </c>
      <c r="G9">
        <v>-5000</v>
      </c>
      <c r="H9">
        <v>5000</v>
      </c>
      <c r="I9">
        <v>1</v>
      </c>
      <c r="J9" t="b">
        <v>0</v>
      </c>
      <c r="K9" t="b">
        <v>1</v>
      </c>
      <c r="L9">
        <v>0</v>
      </c>
      <c r="M9" t="s">
        <v>114</v>
      </c>
      <c r="N9" t="b">
        <v>1</v>
      </c>
      <c r="O9">
        <v>-700</v>
      </c>
      <c r="P9">
        <v>700</v>
      </c>
    </row>
    <row r="10" spans="1:16" x14ac:dyDescent="0.25">
      <c r="A10" s="2">
        <v>8</v>
      </c>
      <c r="B10" s="3" t="s">
        <v>113</v>
      </c>
      <c r="C10" s="3">
        <v>37</v>
      </c>
      <c r="D10" s="16">
        <f>0.24611*2000</f>
        <v>492.21999999999997</v>
      </c>
      <c r="E10" s="3">
        <v>1</v>
      </c>
      <c r="F10" s="3"/>
      <c r="G10" s="3">
        <v>-5000</v>
      </c>
      <c r="H10" s="3">
        <v>5000</v>
      </c>
      <c r="I10" s="3">
        <v>1</v>
      </c>
      <c r="J10" s="3" t="b">
        <v>0</v>
      </c>
      <c r="K10" s="3" t="b">
        <v>1</v>
      </c>
      <c r="L10" s="3">
        <v>0</v>
      </c>
      <c r="M10" s="3" t="s">
        <v>114</v>
      </c>
      <c r="N10" s="3" t="b">
        <v>1</v>
      </c>
      <c r="O10" s="3">
        <v>-700</v>
      </c>
      <c r="P10" s="3">
        <v>700</v>
      </c>
    </row>
    <row r="11" spans="1:16" x14ac:dyDescent="0.25">
      <c r="A11" s="1">
        <v>9</v>
      </c>
      <c r="B11" t="s">
        <v>353</v>
      </c>
      <c r="C11">
        <v>28</v>
      </c>
      <c r="D11">
        <f>0.6*P11</f>
        <v>75</v>
      </c>
      <c r="E11">
        <v>1</v>
      </c>
      <c r="G11">
        <f>-H11</f>
        <v>-41.25</v>
      </c>
      <c r="H11">
        <f>0.33*P11</f>
        <v>41.25</v>
      </c>
      <c r="I11">
        <v>1</v>
      </c>
      <c r="J11" t="b">
        <v>0</v>
      </c>
      <c r="K11" t="b">
        <v>1</v>
      </c>
      <c r="L11">
        <v>0</v>
      </c>
      <c r="M11" t="s">
        <v>354</v>
      </c>
      <c r="N11" t="b">
        <v>1</v>
      </c>
      <c r="O11">
        <v>0</v>
      </c>
      <c r="P11">
        <v>125</v>
      </c>
    </row>
    <row r="12" spans="1:16" x14ac:dyDescent="0.25">
      <c r="A12" s="1">
        <v>10</v>
      </c>
      <c r="B12" t="s">
        <v>353</v>
      </c>
      <c r="C12">
        <v>28</v>
      </c>
      <c r="D12">
        <f t="shared" ref="D12:D75" si="1">0.6*P12</f>
        <v>75</v>
      </c>
      <c r="E12">
        <v>1</v>
      </c>
      <c r="G12">
        <f t="shared" ref="G12:G75" si="2">-H12</f>
        <v>-41.25</v>
      </c>
      <c r="H12">
        <f t="shared" ref="H12:H75" si="3">0.33*P12</f>
        <v>41.25</v>
      </c>
      <c r="I12">
        <v>1</v>
      </c>
      <c r="J12" t="b">
        <v>0</v>
      </c>
      <c r="K12" t="b">
        <v>1</v>
      </c>
      <c r="L12">
        <v>0</v>
      </c>
      <c r="M12" t="s">
        <v>354</v>
      </c>
      <c r="N12" t="b">
        <v>1</v>
      </c>
      <c r="O12">
        <v>0</v>
      </c>
      <c r="P12">
        <v>125</v>
      </c>
    </row>
    <row r="13" spans="1:16" x14ac:dyDescent="0.25">
      <c r="A13" s="1">
        <v>11</v>
      </c>
      <c r="B13" t="s">
        <v>355</v>
      </c>
      <c r="C13">
        <v>29</v>
      </c>
      <c r="D13">
        <f t="shared" si="1"/>
        <v>4.2</v>
      </c>
      <c r="E13">
        <v>1</v>
      </c>
      <c r="G13">
        <f t="shared" si="2"/>
        <v>-2.31</v>
      </c>
      <c r="H13">
        <f t="shared" si="3"/>
        <v>2.31</v>
      </c>
      <c r="I13">
        <v>1</v>
      </c>
      <c r="J13" t="b">
        <v>0</v>
      </c>
      <c r="K13" t="b">
        <v>1</v>
      </c>
      <c r="L13">
        <v>0</v>
      </c>
      <c r="M13" t="s">
        <v>354</v>
      </c>
      <c r="N13" t="b">
        <v>1</v>
      </c>
      <c r="O13">
        <v>0</v>
      </c>
      <c r="P13">
        <v>7</v>
      </c>
    </row>
    <row r="14" spans="1:16" x14ac:dyDescent="0.25">
      <c r="A14" s="1">
        <v>12</v>
      </c>
      <c r="B14" t="s">
        <v>356</v>
      </c>
      <c r="C14">
        <v>12</v>
      </c>
      <c r="D14">
        <f t="shared" si="1"/>
        <v>22.8</v>
      </c>
      <c r="E14">
        <v>1</v>
      </c>
      <c r="G14">
        <f t="shared" si="2"/>
        <v>-12.540000000000001</v>
      </c>
      <c r="H14">
        <f t="shared" si="3"/>
        <v>12.540000000000001</v>
      </c>
      <c r="I14">
        <v>1</v>
      </c>
      <c r="J14" t="b">
        <v>0</v>
      </c>
      <c r="K14" t="b">
        <v>1</v>
      </c>
      <c r="L14">
        <v>0</v>
      </c>
      <c r="M14" t="s">
        <v>354</v>
      </c>
      <c r="N14" t="b">
        <v>1</v>
      </c>
      <c r="O14">
        <v>0</v>
      </c>
      <c r="P14">
        <v>38</v>
      </c>
    </row>
    <row r="15" spans="1:16" x14ac:dyDescent="0.25">
      <c r="A15" s="1">
        <v>13</v>
      </c>
      <c r="B15" t="s">
        <v>357</v>
      </c>
      <c r="C15">
        <v>11</v>
      </c>
      <c r="D15" s="19">
        <f>0.98*P15</f>
        <v>475.3</v>
      </c>
      <c r="E15">
        <v>1</v>
      </c>
      <c r="G15">
        <f t="shared" si="2"/>
        <v>-160.05000000000001</v>
      </c>
      <c r="H15">
        <f t="shared" si="3"/>
        <v>160.05000000000001</v>
      </c>
      <c r="I15">
        <v>1</v>
      </c>
      <c r="J15" t="b">
        <v>0</v>
      </c>
      <c r="K15" t="b">
        <v>1</v>
      </c>
      <c r="L15">
        <v>0</v>
      </c>
      <c r="M15" t="s">
        <v>358</v>
      </c>
      <c r="N15" t="b">
        <v>1</v>
      </c>
      <c r="O15">
        <v>0</v>
      </c>
      <c r="P15">
        <v>485</v>
      </c>
    </row>
    <row r="16" spans="1:16" x14ac:dyDescent="0.25">
      <c r="A16" s="1">
        <v>14</v>
      </c>
      <c r="B16" t="s">
        <v>359</v>
      </c>
      <c r="C16">
        <v>9</v>
      </c>
      <c r="D16">
        <f t="shared" si="1"/>
        <v>28.799999999999997</v>
      </c>
      <c r="E16">
        <v>1</v>
      </c>
      <c r="G16">
        <f t="shared" si="2"/>
        <v>-15.84</v>
      </c>
      <c r="H16">
        <f t="shared" si="3"/>
        <v>15.84</v>
      </c>
      <c r="I16">
        <v>1</v>
      </c>
      <c r="J16" t="b">
        <v>0</v>
      </c>
      <c r="K16" t="b">
        <v>1</v>
      </c>
      <c r="L16">
        <v>0</v>
      </c>
      <c r="M16" t="s">
        <v>360</v>
      </c>
      <c r="N16" t="b">
        <v>1</v>
      </c>
      <c r="O16">
        <v>0</v>
      </c>
      <c r="P16">
        <v>48</v>
      </c>
    </row>
    <row r="17" spans="1:16" x14ac:dyDescent="0.25">
      <c r="A17" s="1">
        <v>15</v>
      </c>
      <c r="B17" t="s">
        <v>361</v>
      </c>
      <c r="C17">
        <v>11</v>
      </c>
      <c r="D17">
        <f t="shared" si="1"/>
        <v>273</v>
      </c>
      <c r="E17">
        <v>1</v>
      </c>
      <c r="G17">
        <f t="shared" si="2"/>
        <v>-150.15</v>
      </c>
      <c r="H17">
        <f t="shared" si="3"/>
        <v>150.15</v>
      </c>
      <c r="I17">
        <v>1</v>
      </c>
      <c r="J17" t="b">
        <v>0</v>
      </c>
      <c r="K17" t="b">
        <v>1</v>
      </c>
      <c r="L17">
        <v>0</v>
      </c>
      <c r="M17" t="s">
        <v>354</v>
      </c>
      <c r="N17" t="b">
        <v>1</v>
      </c>
      <c r="O17">
        <v>0</v>
      </c>
      <c r="P17">
        <v>455</v>
      </c>
    </row>
    <row r="18" spans="1:16" x14ac:dyDescent="0.25">
      <c r="A18" s="1">
        <v>16</v>
      </c>
      <c r="B18" t="s">
        <v>362</v>
      </c>
      <c r="C18">
        <v>28</v>
      </c>
      <c r="D18">
        <f t="shared" si="1"/>
        <v>506.4</v>
      </c>
      <c r="E18">
        <v>1</v>
      </c>
      <c r="G18">
        <f t="shared" si="2"/>
        <v>-278.52000000000004</v>
      </c>
      <c r="H18">
        <f t="shared" si="3"/>
        <v>278.52000000000004</v>
      </c>
      <c r="I18">
        <v>1</v>
      </c>
      <c r="J18" t="b">
        <v>0</v>
      </c>
      <c r="K18" t="b">
        <v>1</v>
      </c>
      <c r="L18">
        <v>0</v>
      </c>
      <c r="M18" t="s">
        <v>354</v>
      </c>
      <c r="N18" t="b">
        <v>1</v>
      </c>
      <c r="O18">
        <v>0</v>
      </c>
      <c r="P18">
        <v>844</v>
      </c>
    </row>
    <row r="19" spans="1:16" x14ac:dyDescent="0.25">
      <c r="A19" s="1">
        <v>17</v>
      </c>
      <c r="B19" t="s">
        <v>363</v>
      </c>
      <c r="C19">
        <v>3</v>
      </c>
      <c r="D19">
        <f t="shared" si="1"/>
        <v>43.199999999999996</v>
      </c>
      <c r="E19">
        <v>1</v>
      </c>
      <c r="G19">
        <f t="shared" si="2"/>
        <v>-23.76</v>
      </c>
      <c r="H19">
        <f t="shared" si="3"/>
        <v>23.76</v>
      </c>
      <c r="I19">
        <v>1</v>
      </c>
      <c r="J19" t="b">
        <v>0</v>
      </c>
      <c r="K19" t="b">
        <v>1</v>
      </c>
      <c r="L19">
        <v>0</v>
      </c>
      <c r="M19" t="s">
        <v>364</v>
      </c>
      <c r="N19" t="b">
        <v>1</v>
      </c>
      <c r="O19">
        <v>0</v>
      </c>
      <c r="P19">
        <v>72</v>
      </c>
    </row>
    <row r="20" spans="1:16" x14ac:dyDescent="0.25">
      <c r="A20" s="1">
        <v>18</v>
      </c>
      <c r="B20" t="s">
        <v>363</v>
      </c>
      <c r="C20">
        <v>3</v>
      </c>
      <c r="D20">
        <f t="shared" si="1"/>
        <v>43.199999999999996</v>
      </c>
      <c r="E20">
        <v>1</v>
      </c>
      <c r="G20">
        <f t="shared" si="2"/>
        <v>-23.76</v>
      </c>
      <c r="H20">
        <f t="shared" si="3"/>
        <v>23.76</v>
      </c>
      <c r="I20">
        <v>1</v>
      </c>
      <c r="J20" t="b">
        <v>0</v>
      </c>
      <c r="K20" t="b">
        <v>1</v>
      </c>
      <c r="L20">
        <v>0</v>
      </c>
      <c r="M20" t="s">
        <v>364</v>
      </c>
      <c r="N20" t="b">
        <v>1</v>
      </c>
      <c r="O20">
        <v>0</v>
      </c>
      <c r="P20">
        <v>72</v>
      </c>
    </row>
    <row r="21" spans="1:16" x14ac:dyDescent="0.25">
      <c r="A21" s="1">
        <v>19</v>
      </c>
      <c r="B21" t="s">
        <v>365</v>
      </c>
      <c r="C21">
        <v>6</v>
      </c>
      <c r="D21">
        <f t="shared" si="1"/>
        <v>78.599999999999994</v>
      </c>
      <c r="E21">
        <v>1</v>
      </c>
      <c r="G21">
        <f t="shared" si="2"/>
        <v>-43.230000000000004</v>
      </c>
      <c r="H21">
        <f t="shared" si="3"/>
        <v>43.230000000000004</v>
      </c>
      <c r="I21">
        <v>1</v>
      </c>
      <c r="J21" t="b">
        <v>0</v>
      </c>
      <c r="K21" t="b">
        <v>1</v>
      </c>
      <c r="L21">
        <v>0</v>
      </c>
      <c r="M21" t="s">
        <v>364</v>
      </c>
      <c r="N21" t="b">
        <v>1</v>
      </c>
      <c r="O21">
        <v>0</v>
      </c>
      <c r="P21">
        <v>131</v>
      </c>
    </row>
    <row r="22" spans="1:16" x14ac:dyDescent="0.25">
      <c r="A22" s="1">
        <v>20</v>
      </c>
      <c r="B22" t="s">
        <v>365</v>
      </c>
      <c r="C22">
        <v>6</v>
      </c>
      <c r="D22">
        <f t="shared" si="1"/>
        <v>215.4</v>
      </c>
      <c r="E22">
        <v>1</v>
      </c>
      <c r="G22">
        <f t="shared" si="2"/>
        <v>-118.47</v>
      </c>
      <c r="H22">
        <f t="shared" si="3"/>
        <v>118.47</v>
      </c>
      <c r="I22">
        <v>1</v>
      </c>
      <c r="J22" t="b">
        <v>0</v>
      </c>
      <c r="K22" t="b">
        <v>1</v>
      </c>
      <c r="L22">
        <v>0</v>
      </c>
      <c r="M22" t="s">
        <v>354</v>
      </c>
      <c r="N22" t="b">
        <v>1</v>
      </c>
      <c r="O22">
        <v>0</v>
      </c>
      <c r="P22">
        <v>359</v>
      </c>
    </row>
    <row r="23" spans="1:16" x14ac:dyDescent="0.25">
      <c r="A23" s="1">
        <v>21</v>
      </c>
      <c r="B23" t="s">
        <v>365</v>
      </c>
      <c r="C23">
        <v>6</v>
      </c>
      <c r="D23">
        <f t="shared" si="1"/>
        <v>215.4</v>
      </c>
      <c r="E23">
        <v>1</v>
      </c>
      <c r="G23">
        <f t="shared" si="2"/>
        <v>-118.47</v>
      </c>
      <c r="H23">
        <f t="shared" si="3"/>
        <v>118.47</v>
      </c>
      <c r="I23">
        <v>1</v>
      </c>
      <c r="J23" t="b">
        <v>0</v>
      </c>
      <c r="K23" t="b">
        <v>1</v>
      </c>
      <c r="L23">
        <v>0</v>
      </c>
      <c r="M23" t="s">
        <v>354</v>
      </c>
      <c r="N23" t="b">
        <v>1</v>
      </c>
      <c r="O23">
        <v>0</v>
      </c>
      <c r="P23">
        <v>359</v>
      </c>
    </row>
    <row r="24" spans="1:16" x14ac:dyDescent="0.25">
      <c r="A24" s="1">
        <v>22</v>
      </c>
      <c r="B24" t="s">
        <v>365</v>
      </c>
      <c r="C24">
        <v>6</v>
      </c>
      <c r="D24">
        <f t="shared" si="1"/>
        <v>216.6</v>
      </c>
      <c r="E24">
        <v>1</v>
      </c>
      <c r="G24">
        <f t="shared" si="2"/>
        <v>-119.13000000000001</v>
      </c>
      <c r="H24">
        <f t="shared" si="3"/>
        <v>119.13000000000001</v>
      </c>
      <c r="I24">
        <v>1</v>
      </c>
      <c r="J24" t="b">
        <v>0</v>
      </c>
      <c r="K24" t="b">
        <v>1</v>
      </c>
      <c r="L24">
        <v>0</v>
      </c>
      <c r="M24" t="s">
        <v>354</v>
      </c>
      <c r="N24" t="b">
        <v>1</v>
      </c>
      <c r="O24">
        <v>0</v>
      </c>
      <c r="P24">
        <v>361</v>
      </c>
    </row>
    <row r="25" spans="1:16" x14ac:dyDescent="0.25">
      <c r="A25" s="1">
        <v>23</v>
      </c>
      <c r="B25" t="s">
        <v>365</v>
      </c>
      <c r="C25">
        <v>18</v>
      </c>
      <c r="D25">
        <f t="shared" si="1"/>
        <v>215.4</v>
      </c>
      <c r="E25">
        <v>1</v>
      </c>
      <c r="G25">
        <f t="shared" si="2"/>
        <v>-118.47</v>
      </c>
      <c r="H25">
        <f t="shared" si="3"/>
        <v>118.47</v>
      </c>
      <c r="I25">
        <v>1</v>
      </c>
      <c r="J25" t="b">
        <v>0</v>
      </c>
      <c r="K25" t="b">
        <v>1</v>
      </c>
      <c r="L25">
        <v>0</v>
      </c>
      <c r="M25" t="s">
        <v>354</v>
      </c>
      <c r="N25" t="b">
        <v>1</v>
      </c>
      <c r="O25">
        <v>0</v>
      </c>
      <c r="P25">
        <v>359</v>
      </c>
    </row>
    <row r="26" spans="1:16" x14ac:dyDescent="0.25">
      <c r="A26" s="1">
        <v>24</v>
      </c>
      <c r="B26" t="s">
        <v>365</v>
      </c>
      <c r="C26">
        <v>18</v>
      </c>
      <c r="D26">
        <f t="shared" si="1"/>
        <v>216</v>
      </c>
      <c r="E26">
        <v>1</v>
      </c>
      <c r="G26">
        <f t="shared" si="2"/>
        <v>-118.80000000000001</v>
      </c>
      <c r="H26">
        <f t="shared" si="3"/>
        <v>118.80000000000001</v>
      </c>
      <c r="I26">
        <v>1</v>
      </c>
      <c r="J26" t="b">
        <v>0</v>
      </c>
      <c r="K26" t="b">
        <v>1</v>
      </c>
      <c r="L26">
        <v>0</v>
      </c>
      <c r="M26" t="s">
        <v>354</v>
      </c>
      <c r="N26" t="b">
        <v>1</v>
      </c>
      <c r="O26">
        <v>0</v>
      </c>
      <c r="P26">
        <v>360</v>
      </c>
    </row>
    <row r="27" spans="1:16" x14ac:dyDescent="0.25">
      <c r="A27" s="1">
        <v>25</v>
      </c>
      <c r="B27" t="s">
        <v>366</v>
      </c>
      <c r="C27">
        <v>25</v>
      </c>
      <c r="D27">
        <f t="shared" si="1"/>
        <v>255.6</v>
      </c>
      <c r="E27">
        <v>1</v>
      </c>
      <c r="G27">
        <f t="shared" si="2"/>
        <v>-140.58000000000001</v>
      </c>
      <c r="H27">
        <f t="shared" si="3"/>
        <v>140.58000000000001</v>
      </c>
      <c r="I27">
        <v>1</v>
      </c>
      <c r="J27" t="b">
        <v>0</v>
      </c>
      <c r="K27" t="b">
        <v>1</v>
      </c>
      <c r="L27">
        <v>0</v>
      </c>
      <c r="M27" t="s">
        <v>354</v>
      </c>
      <c r="N27" t="b">
        <v>1</v>
      </c>
      <c r="O27">
        <v>0</v>
      </c>
      <c r="P27">
        <v>426</v>
      </c>
    </row>
    <row r="28" spans="1:16" x14ac:dyDescent="0.25">
      <c r="A28" s="1">
        <v>26</v>
      </c>
      <c r="B28" t="s">
        <v>366</v>
      </c>
      <c r="C28">
        <v>25</v>
      </c>
      <c r="D28">
        <f t="shared" si="1"/>
        <v>249</v>
      </c>
      <c r="E28">
        <v>1</v>
      </c>
      <c r="G28">
        <f t="shared" si="2"/>
        <v>-136.95000000000002</v>
      </c>
      <c r="H28">
        <f t="shared" si="3"/>
        <v>136.95000000000002</v>
      </c>
      <c r="I28">
        <v>1</v>
      </c>
      <c r="J28" t="b">
        <v>0</v>
      </c>
      <c r="K28" t="b">
        <v>1</v>
      </c>
      <c r="L28">
        <v>0</v>
      </c>
      <c r="M28" t="s">
        <v>354</v>
      </c>
      <c r="N28" t="b">
        <v>1</v>
      </c>
      <c r="O28">
        <v>0</v>
      </c>
      <c r="P28">
        <v>415</v>
      </c>
    </row>
    <row r="29" spans="1:16" x14ac:dyDescent="0.25">
      <c r="A29" s="1">
        <v>27</v>
      </c>
      <c r="B29" t="s">
        <v>367</v>
      </c>
      <c r="C29">
        <v>13</v>
      </c>
      <c r="D29">
        <f t="shared" si="1"/>
        <v>49.8</v>
      </c>
      <c r="E29">
        <v>1</v>
      </c>
      <c r="G29">
        <f t="shared" si="2"/>
        <v>-27.39</v>
      </c>
      <c r="H29">
        <f t="shared" si="3"/>
        <v>27.39</v>
      </c>
      <c r="I29">
        <v>1</v>
      </c>
      <c r="J29" t="b">
        <v>0</v>
      </c>
      <c r="K29" t="b">
        <v>1</v>
      </c>
      <c r="L29">
        <v>0</v>
      </c>
      <c r="M29" t="s">
        <v>368</v>
      </c>
      <c r="N29" t="b">
        <v>1</v>
      </c>
      <c r="O29">
        <v>0</v>
      </c>
      <c r="P29">
        <v>83</v>
      </c>
    </row>
    <row r="30" spans="1:16" x14ac:dyDescent="0.25">
      <c r="A30" s="1">
        <v>28</v>
      </c>
      <c r="B30" t="s">
        <v>369</v>
      </c>
      <c r="C30">
        <v>33</v>
      </c>
      <c r="D30">
        <f t="shared" si="1"/>
        <v>67.2</v>
      </c>
      <c r="E30">
        <v>1</v>
      </c>
      <c r="G30">
        <f t="shared" si="2"/>
        <v>-36.96</v>
      </c>
      <c r="H30">
        <f t="shared" si="3"/>
        <v>36.96</v>
      </c>
      <c r="I30">
        <v>1</v>
      </c>
      <c r="J30" t="b">
        <v>0</v>
      </c>
      <c r="K30" t="b">
        <v>1</v>
      </c>
      <c r="L30">
        <v>0</v>
      </c>
      <c r="M30" t="s">
        <v>368</v>
      </c>
      <c r="N30" t="b">
        <v>1</v>
      </c>
      <c r="O30">
        <v>0</v>
      </c>
      <c r="P30">
        <v>112</v>
      </c>
    </row>
    <row r="31" spans="1:16" x14ac:dyDescent="0.25">
      <c r="A31" s="1">
        <v>29</v>
      </c>
      <c r="B31" t="s">
        <v>370</v>
      </c>
      <c r="C31">
        <v>24</v>
      </c>
      <c r="D31">
        <f t="shared" si="1"/>
        <v>14.399999999999999</v>
      </c>
      <c r="E31">
        <v>1</v>
      </c>
      <c r="G31">
        <f t="shared" si="2"/>
        <v>-7.92</v>
      </c>
      <c r="H31">
        <f t="shared" si="3"/>
        <v>7.92</v>
      </c>
      <c r="I31">
        <v>1</v>
      </c>
      <c r="J31" t="b">
        <v>0</v>
      </c>
      <c r="K31" t="b">
        <v>1</v>
      </c>
      <c r="L31">
        <v>0</v>
      </c>
      <c r="M31" t="s">
        <v>364</v>
      </c>
      <c r="N31" t="b">
        <v>1</v>
      </c>
      <c r="O31">
        <v>0</v>
      </c>
      <c r="P31">
        <v>24</v>
      </c>
    </row>
    <row r="32" spans="1:16" x14ac:dyDescent="0.25">
      <c r="A32" s="1">
        <v>30</v>
      </c>
      <c r="B32" t="s">
        <v>370</v>
      </c>
      <c r="C32">
        <v>24</v>
      </c>
      <c r="D32">
        <f t="shared" si="1"/>
        <v>14.399999999999999</v>
      </c>
      <c r="E32">
        <v>1</v>
      </c>
      <c r="G32">
        <f t="shared" si="2"/>
        <v>-7.92</v>
      </c>
      <c r="H32">
        <f t="shared" si="3"/>
        <v>7.92</v>
      </c>
      <c r="I32">
        <v>1</v>
      </c>
      <c r="J32" t="b">
        <v>0</v>
      </c>
      <c r="K32" t="b">
        <v>1</v>
      </c>
      <c r="L32">
        <v>0</v>
      </c>
      <c r="M32" t="s">
        <v>364</v>
      </c>
      <c r="N32" t="b">
        <v>1</v>
      </c>
      <c r="O32">
        <v>0</v>
      </c>
      <c r="P32">
        <v>24</v>
      </c>
    </row>
    <row r="33" spans="1:16" x14ac:dyDescent="0.25">
      <c r="A33" s="1">
        <v>31</v>
      </c>
      <c r="B33" t="s">
        <v>370</v>
      </c>
      <c r="C33">
        <v>24</v>
      </c>
      <c r="D33">
        <f t="shared" si="1"/>
        <v>132</v>
      </c>
      <c r="E33">
        <v>1</v>
      </c>
      <c r="G33">
        <f t="shared" si="2"/>
        <v>-72.600000000000009</v>
      </c>
      <c r="H33">
        <f t="shared" si="3"/>
        <v>72.600000000000009</v>
      </c>
      <c r="I33">
        <v>1</v>
      </c>
      <c r="J33" t="b">
        <v>0</v>
      </c>
      <c r="K33" t="b">
        <v>1</v>
      </c>
      <c r="L33">
        <v>0</v>
      </c>
      <c r="M33" t="s">
        <v>368</v>
      </c>
      <c r="N33" t="b">
        <v>1</v>
      </c>
      <c r="O33">
        <v>0</v>
      </c>
      <c r="P33">
        <v>220</v>
      </c>
    </row>
    <row r="34" spans="1:16" x14ac:dyDescent="0.25">
      <c r="A34" s="1">
        <v>32</v>
      </c>
      <c r="B34" t="s">
        <v>372</v>
      </c>
      <c r="C34">
        <v>28</v>
      </c>
      <c r="D34">
        <f t="shared" si="1"/>
        <v>47.4</v>
      </c>
      <c r="E34">
        <v>1</v>
      </c>
      <c r="G34">
        <f t="shared" si="2"/>
        <v>-26.07</v>
      </c>
      <c r="H34">
        <f t="shared" si="3"/>
        <v>26.07</v>
      </c>
      <c r="I34">
        <v>1</v>
      </c>
      <c r="J34" t="b">
        <v>0</v>
      </c>
      <c r="K34" t="b">
        <v>1</v>
      </c>
      <c r="L34">
        <v>0</v>
      </c>
      <c r="M34" t="s">
        <v>368</v>
      </c>
      <c r="N34" t="b">
        <v>1</v>
      </c>
      <c r="O34">
        <v>0</v>
      </c>
      <c r="P34">
        <v>79</v>
      </c>
    </row>
    <row r="35" spans="1:16" x14ac:dyDescent="0.25">
      <c r="A35" s="1">
        <v>33</v>
      </c>
      <c r="B35" t="s">
        <v>373</v>
      </c>
      <c r="C35">
        <v>11</v>
      </c>
      <c r="D35">
        <f t="shared" si="1"/>
        <v>261</v>
      </c>
      <c r="E35">
        <v>1</v>
      </c>
      <c r="G35">
        <f t="shared" si="2"/>
        <v>-143.55000000000001</v>
      </c>
      <c r="H35">
        <f t="shared" si="3"/>
        <v>143.55000000000001</v>
      </c>
      <c r="I35">
        <v>1</v>
      </c>
      <c r="J35" t="b">
        <v>0</v>
      </c>
      <c r="K35" t="b">
        <v>1</v>
      </c>
      <c r="L35">
        <v>0</v>
      </c>
      <c r="M35" t="s">
        <v>354</v>
      </c>
      <c r="N35" t="b">
        <v>1</v>
      </c>
      <c r="O35">
        <v>0</v>
      </c>
      <c r="P35">
        <v>435</v>
      </c>
    </row>
    <row r="36" spans="1:16" x14ac:dyDescent="0.25">
      <c r="A36" s="1">
        <v>34</v>
      </c>
      <c r="B36" t="s">
        <v>373</v>
      </c>
      <c r="C36">
        <v>11</v>
      </c>
      <c r="D36">
        <f t="shared" si="1"/>
        <v>261</v>
      </c>
      <c r="E36">
        <v>1</v>
      </c>
      <c r="G36">
        <f t="shared" si="2"/>
        <v>-143.55000000000001</v>
      </c>
      <c r="H36">
        <f t="shared" si="3"/>
        <v>143.55000000000001</v>
      </c>
      <c r="I36">
        <v>1</v>
      </c>
      <c r="J36" t="b">
        <v>0</v>
      </c>
      <c r="K36" t="b">
        <v>1</v>
      </c>
      <c r="L36">
        <v>0</v>
      </c>
      <c r="M36" t="s">
        <v>354</v>
      </c>
      <c r="N36" t="b">
        <v>1</v>
      </c>
      <c r="O36">
        <v>0</v>
      </c>
      <c r="P36">
        <v>435</v>
      </c>
    </row>
    <row r="37" spans="1:16" x14ac:dyDescent="0.25">
      <c r="A37" s="1">
        <v>35</v>
      </c>
      <c r="B37" t="s">
        <v>374</v>
      </c>
      <c r="C37">
        <v>22</v>
      </c>
      <c r="D37">
        <f t="shared" si="1"/>
        <v>360</v>
      </c>
      <c r="E37">
        <v>1</v>
      </c>
      <c r="G37">
        <f t="shared" si="2"/>
        <v>-198</v>
      </c>
      <c r="H37">
        <f t="shared" si="3"/>
        <v>198</v>
      </c>
      <c r="I37">
        <v>1</v>
      </c>
      <c r="J37" t="b">
        <v>0</v>
      </c>
      <c r="K37" t="b">
        <v>1</v>
      </c>
      <c r="L37">
        <v>0</v>
      </c>
      <c r="M37" t="s">
        <v>371</v>
      </c>
      <c r="N37" t="b">
        <v>1</v>
      </c>
      <c r="O37">
        <v>0</v>
      </c>
      <c r="P37">
        <v>600</v>
      </c>
    </row>
    <row r="38" spans="1:16" x14ac:dyDescent="0.25">
      <c r="A38" s="1">
        <v>36</v>
      </c>
      <c r="B38" t="s">
        <v>375</v>
      </c>
      <c r="C38">
        <v>23</v>
      </c>
      <c r="D38">
        <f t="shared" si="1"/>
        <v>36</v>
      </c>
      <c r="E38">
        <v>1</v>
      </c>
      <c r="G38">
        <f t="shared" si="2"/>
        <v>-19.8</v>
      </c>
      <c r="H38">
        <f t="shared" si="3"/>
        <v>19.8</v>
      </c>
      <c r="I38">
        <v>1</v>
      </c>
      <c r="J38" t="b">
        <v>0</v>
      </c>
      <c r="K38" t="b">
        <v>1</v>
      </c>
      <c r="L38">
        <v>0</v>
      </c>
      <c r="M38" t="s">
        <v>368</v>
      </c>
      <c r="N38" t="b">
        <v>1</v>
      </c>
      <c r="O38">
        <v>0</v>
      </c>
      <c r="P38">
        <v>60</v>
      </c>
    </row>
    <row r="39" spans="1:16" x14ac:dyDescent="0.25">
      <c r="A39" s="1">
        <v>37</v>
      </c>
      <c r="B39" t="s">
        <v>376</v>
      </c>
      <c r="C39">
        <v>8</v>
      </c>
      <c r="D39">
        <f t="shared" si="1"/>
        <v>108</v>
      </c>
      <c r="E39">
        <v>1</v>
      </c>
      <c r="G39">
        <f t="shared" si="2"/>
        <v>-59.400000000000006</v>
      </c>
      <c r="H39">
        <f t="shared" si="3"/>
        <v>59.400000000000006</v>
      </c>
      <c r="I39">
        <v>1</v>
      </c>
      <c r="J39" t="b">
        <v>0</v>
      </c>
      <c r="K39" t="b">
        <v>1</v>
      </c>
      <c r="L39">
        <v>0</v>
      </c>
      <c r="M39" t="s">
        <v>354</v>
      </c>
      <c r="N39" t="b">
        <v>1</v>
      </c>
      <c r="O39">
        <v>0</v>
      </c>
      <c r="P39">
        <v>180</v>
      </c>
    </row>
    <row r="40" spans="1:16" x14ac:dyDescent="0.25">
      <c r="A40" s="1">
        <v>38</v>
      </c>
      <c r="B40" t="s">
        <v>377</v>
      </c>
      <c r="C40">
        <v>26</v>
      </c>
      <c r="D40">
        <f t="shared" si="1"/>
        <v>384</v>
      </c>
      <c r="E40">
        <v>1</v>
      </c>
      <c r="G40">
        <f t="shared" si="2"/>
        <v>-211.20000000000002</v>
      </c>
      <c r="H40">
        <f t="shared" si="3"/>
        <v>211.20000000000002</v>
      </c>
      <c r="I40">
        <v>1</v>
      </c>
      <c r="J40" t="b">
        <v>0</v>
      </c>
      <c r="K40" t="b">
        <v>1</v>
      </c>
      <c r="L40">
        <v>0</v>
      </c>
      <c r="M40" t="s">
        <v>378</v>
      </c>
      <c r="N40" t="b">
        <v>1</v>
      </c>
      <c r="O40">
        <v>0</v>
      </c>
      <c r="P40">
        <v>640</v>
      </c>
    </row>
    <row r="41" spans="1:16" x14ac:dyDescent="0.25">
      <c r="A41" s="1">
        <v>39</v>
      </c>
      <c r="B41" t="s">
        <v>377</v>
      </c>
      <c r="C41">
        <v>26</v>
      </c>
      <c r="D41">
        <f t="shared" si="1"/>
        <v>765</v>
      </c>
      <c r="E41">
        <v>1</v>
      </c>
      <c r="G41">
        <f t="shared" si="2"/>
        <v>-420.75</v>
      </c>
      <c r="H41">
        <f t="shared" si="3"/>
        <v>420.75</v>
      </c>
      <c r="I41">
        <v>1</v>
      </c>
      <c r="J41" t="b">
        <v>0</v>
      </c>
      <c r="K41" t="b">
        <v>1</v>
      </c>
      <c r="L41">
        <v>0</v>
      </c>
      <c r="M41" t="s">
        <v>354</v>
      </c>
      <c r="N41" t="b">
        <v>1</v>
      </c>
      <c r="O41">
        <v>0</v>
      </c>
      <c r="P41">
        <v>1275</v>
      </c>
    </row>
    <row r="42" spans="1:16" x14ac:dyDescent="0.25">
      <c r="A42" s="1">
        <v>40</v>
      </c>
      <c r="B42" t="s">
        <v>376</v>
      </c>
      <c r="C42">
        <v>8</v>
      </c>
      <c r="D42">
        <f t="shared" si="1"/>
        <v>210</v>
      </c>
      <c r="E42">
        <v>1</v>
      </c>
      <c r="G42">
        <f t="shared" si="2"/>
        <v>-115.5</v>
      </c>
      <c r="H42">
        <f t="shared" si="3"/>
        <v>115.5</v>
      </c>
      <c r="I42">
        <v>1</v>
      </c>
      <c r="J42" t="b">
        <v>0</v>
      </c>
      <c r="K42" t="b">
        <v>1</v>
      </c>
      <c r="L42">
        <v>0</v>
      </c>
      <c r="M42" t="s">
        <v>354</v>
      </c>
      <c r="N42" t="b">
        <v>1</v>
      </c>
      <c r="O42">
        <v>0</v>
      </c>
      <c r="P42">
        <v>350</v>
      </c>
    </row>
    <row r="43" spans="1:16" x14ac:dyDescent="0.25">
      <c r="A43" s="1">
        <v>41</v>
      </c>
      <c r="B43" t="s">
        <v>379</v>
      </c>
      <c r="C43">
        <v>9</v>
      </c>
      <c r="D43">
        <f t="shared" si="1"/>
        <v>37.799999999999997</v>
      </c>
      <c r="E43">
        <v>1</v>
      </c>
      <c r="G43">
        <f t="shared" si="2"/>
        <v>-20.790000000000003</v>
      </c>
      <c r="H43">
        <f t="shared" si="3"/>
        <v>20.790000000000003</v>
      </c>
      <c r="I43">
        <v>1</v>
      </c>
      <c r="J43" t="b">
        <v>0</v>
      </c>
      <c r="K43" t="b">
        <v>1</v>
      </c>
      <c r="L43">
        <v>0</v>
      </c>
      <c r="M43" t="s">
        <v>368</v>
      </c>
      <c r="N43" t="b">
        <v>1</v>
      </c>
      <c r="O43">
        <v>0</v>
      </c>
      <c r="P43">
        <v>63</v>
      </c>
    </row>
    <row r="44" spans="1:16" x14ac:dyDescent="0.25">
      <c r="A44" s="1">
        <v>42</v>
      </c>
      <c r="B44" t="s">
        <v>380</v>
      </c>
      <c r="C44">
        <v>9</v>
      </c>
      <c r="D44">
        <f t="shared" si="1"/>
        <v>37.799999999999997</v>
      </c>
      <c r="E44">
        <v>1</v>
      </c>
      <c r="G44">
        <f t="shared" si="2"/>
        <v>-20.790000000000003</v>
      </c>
      <c r="H44">
        <f t="shared" si="3"/>
        <v>20.790000000000003</v>
      </c>
      <c r="I44">
        <v>1</v>
      </c>
      <c r="J44" t="b">
        <v>0</v>
      </c>
      <c r="K44" t="b">
        <v>1</v>
      </c>
      <c r="L44">
        <v>0</v>
      </c>
      <c r="M44" t="s">
        <v>368</v>
      </c>
      <c r="N44" t="b">
        <v>1</v>
      </c>
      <c r="O44">
        <v>0</v>
      </c>
      <c r="P44">
        <v>63</v>
      </c>
    </row>
    <row r="45" spans="1:16" x14ac:dyDescent="0.25">
      <c r="A45" s="1">
        <v>43</v>
      </c>
      <c r="B45" t="s">
        <v>381</v>
      </c>
      <c r="C45">
        <v>26</v>
      </c>
      <c r="D45">
        <f t="shared" si="1"/>
        <v>138</v>
      </c>
      <c r="E45">
        <v>1</v>
      </c>
      <c r="G45">
        <f t="shared" si="2"/>
        <v>-75.900000000000006</v>
      </c>
      <c r="H45">
        <f t="shared" si="3"/>
        <v>75.900000000000006</v>
      </c>
      <c r="I45">
        <v>1</v>
      </c>
      <c r="J45" t="b">
        <v>0</v>
      </c>
      <c r="K45" t="b">
        <v>1</v>
      </c>
      <c r="L45">
        <v>0</v>
      </c>
      <c r="M45" t="s">
        <v>354</v>
      </c>
      <c r="N45" t="b">
        <v>1</v>
      </c>
      <c r="O45">
        <v>0</v>
      </c>
      <c r="P45">
        <v>230</v>
      </c>
    </row>
    <row r="46" spans="1:16" x14ac:dyDescent="0.25">
      <c r="A46" s="1">
        <v>44</v>
      </c>
      <c r="B46" t="s">
        <v>382</v>
      </c>
      <c r="C46">
        <v>30</v>
      </c>
      <c r="D46">
        <f t="shared" si="1"/>
        <v>19.8</v>
      </c>
      <c r="E46">
        <v>1</v>
      </c>
      <c r="G46">
        <f t="shared" si="2"/>
        <v>-10.89</v>
      </c>
      <c r="H46">
        <f t="shared" si="3"/>
        <v>10.89</v>
      </c>
      <c r="I46">
        <v>1</v>
      </c>
      <c r="J46" t="b">
        <v>0</v>
      </c>
      <c r="K46" t="b">
        <v>1</v>
      </c>
      <c r="L46">
        <v>0</v>
      </c>
      <c r="M46" t="s">
        <v>368</v>
      </c>
      <c r="N46" t="b">
        <v>1</v>
      </c>
      <c r="O46">
        <v>0</v>
      </c>
      <c r="P46">
        <v>33</v>
      </c>
    </row>
    <row r="47" spans="1:16" x14ac:dyDescent="0.25">
      <c r="A47" s="1">
        <v>45</v>
      </c>
      <c r="B47" t="s">
        <v>383</v>
      </c>
      <c r="C47">
        <v>16</v>
      </c>
      <c r="D47">
        <f t="shared" si="1"/>
        <v>15</v>
      </c>
      <c r="E47">
        <v>1</v>
      </c>
      <c r="G47">
        <f t="shared" si="2"/>
        <v>-8.25</v>
      </c>
      <c r="H47">
        <f t="shared" si="3"/>
        <v>8.25</v>
      </c>
      <c r="I47">
        <v>1</v>
      </c>
      <c r="J47" t="b">
        <v>0</v>
      </c>
      <c r="K47" t="b">
        <v>1</v>
      </c>
      <c r="L47">
        <v>0</v>
      </c>
      <c r="M47" t="s">
        <v>384</v>
      </c>
      <c r="N47" t="b">
        <v>1</v>
      </c>
      <c r="O47">
        <v>0</v>
      </c>
      <c r="P47">
        <v>25</v>
      </c>
    </row>
    <row r="48" spans="1:16" x14ac:dyDescent="0.25">
      <c r="A48" s="1">
        <v>46</v>
      </c>
      <c r="B48" t="s">
        <v>385</v>
      </c>
      <c r="C48">
        <v>22</v>
      </c>
      <c r="D48">
        <f t="shared" si="1"/>
        <v>19.2</v>
      </c>
      <c r="E48">
        <v>1</v>
      </c>
      <c r="G48">
        <f t="shared" si="2"/>
        <v>-10.56</v>
      </c>
      <c r="H48">
        <f t="shared" si="3"/>
        <v>10.56</v>
      </c>
      <c r="I48">
        <v>1</v>
      </c>
      <c r="J48" t="b">
        <v>0</v>
      </c>
      <c r="K48" t="b">
        <v>1</v>
      </c>
      <c r="L48">
        <v>0</v>
      </c>
      <c r="M48" t="s">
        <v>368</v>
      </c>
      <c r="N48" t="b">
        <v>1</v>
      </c>
      <c r="O48">
        <v>0</v>
      </c>
      <c r="P48">
        <v>32</v>
      </c>
    </row>
    <row r="49" spans="1:16" x14ac:dyDescent="0.25">
      <c r="A49" s="1">
        <v>47</v>
      </c>
      <c r="B49" t="s">
        <v>386</v>
      </c>
      <c r="C49">
        <v>2</v>
      </c>
      <c r="D49">
        <f t="shared" si="1"/>
        <v>76.8</v>
      </c>
      <c r="E49">
        <v>1</v>
      </c>
      <c r="G49">
        <f t="shared" si="2"/>
        <v>-42.24</v>
      </c>
      <c r="H49">
        <f t="shared" si="3"/>
        <v>42.24</v>
      </c>
      <c r="I49">
        <v>1</v>
      </c>
      <c r="J49" t="b">
        <v>0</v>
      </c>
      <c r="K49" t="b">
        <v>1</v>
      </c>
      <c r="L49">
        <v>0</v>
      </c>
      <c r="M49" t="s">
        <v>368</v>
      </c>
      <c r="N49" t="b">
        <v>1</v>
      </c>
      <c r="O49">
        <v>0</v>
      </c>
      <c r="P49">
        <v>128</v>
      </c>
    </row>
    <row r="50" spans="1:16" x14ac:dyDescent="0.25">
      <c r="A50" s="1">
        <v>48</v>
      </c>
      <c r="B50" t="s">
        <v>387</v>
      </c>
      <c r="C50">
        <v>15</v>
      </c>
      <c r="D50">
        <f t="shared" si="1"/>
        <v>37.199999999999996</v>
      </c>
      <c r="E50">
        <v>1</v>
      </c>
      <c r="G50">
        <f t="shared" si="2"/>
        <v>-20.46</v>
      </c>
      <c r="H50">
        <f t="shared" si="3"/>
        <v>20.46</v>
      </c>
      <c r="I50">
        <v>1</v>
      </c>
      <c r="J50" t="b">
        <v>0</v>
      </c>
      <c r="K50" t="b">
        <v>1</v>
      </c>
      <c r="L50">
        <v>0</v>
      </c>
      <c r="M50" t="s">
        <v>368</v>
      </c>
      <c r="N50" t="b">
        <v>1</v>
      </c>
      <c r="O50">
        <v>0</v>
      </c>
      <c r="P50">
        <v>62</v>
      </c>
    </row>
    <row r="51" spans="1:16" x14ac:dyDescent="0.25">
      <c r="A51" s="1">
        <v>49</v>
      </c>
      <c r="B51" t="s">
        <v>387</v>
      </c>
      <c r="C51">
        <v>15</v>
      </c>
      <c r="D51">
        <f t="shared" si="1"/>
        <v>33</v>
      </c>
      <c r="E51">
        <v>1</v>
      </c>
      <c r="G51">
        <f t="shared" si="2"/>
        <v>-18.150000000000002</v>
      </c>
      <c r="H51">
        <f t="shared" si="3"/>
        <v>18.150000000000002</v>
      </c>
      <c r="I51">
        <v>1</v>
      </c>
      <c r="J51" t="b">
        <v>0</v>
      </c>
      <c r="K51" t="b">
        <v>1</v>
      </c>
      <c r="L51">
        <v>0</v>
      </c>
      <c r="M51" t="s">
        <v>368</v>
      </c>
      <c r="N51" t="b">
        <v>1</v>
      </c>
      <c r="O51">
        <v>0</v>
      </c>
      <c r="P51">
        <v>55</v>
      </c>
    </row>
    <row r="52" spans="1:16" x14ac:dyDescent="0.25">
      <c r="A52" s="1">
        <v>50</v>
      </c>
      <c r="B52" t="s">
        <v>388</v>
      </c>
      <c r="C52">
        <v>15</v>
      </c>
      <c r="D52">
        <f t="shared" si="1"/>
        <v>149.4</v>
      </c>
      <c r="E52">
        <v>1</v>
      </c>
      <c r="G52">
        <f t="shared" si="2"/>
        <v>-82.17</v>
      </c>
      <c r="H52">
        <f t="shared" si="3"/>
        <v>82.17</v>
      </c>
      <c r="I52">
        <v>1</v>
      </c>
      <c r="J52" t="b">
        <v>0</v>
      </c>
      <c r="K52" t="b">
        <v>1</v>
      </c>
      <c r="L52">
        <v>0</v>
      </c>
      <c r="M52" t="s">
        <v>368</v>
      </c>
      <c r="N52" t="b">
        <v>1</v>
      </c>
      <c r="O52">
        <v>0</v>
      </c>
      <c r="P52">
        <v>249</v>
      </c>
    </row>
    <row r="53" spans="1:16" x14ac:dyDescent="0.25">
      <c r="A53" s="1">
        <v>51</v>
      </c>
      <c r="B53" t="s">
        <v>390</v>
      </c>
      <c r="C53">
        <v>12</v>
      </c>
      <c r="D53">
        <f t="shared" si="1"/>
        <v>86.399999999999991</v>
      </c>
      <c r="E53">
        <v>1</v>
      </c>
      <c r="G53">
        <f t="shared" si="2"/>
        <v>-47.52</v>
      </c>
      <c r="H53">
        <f t="shared" si="3"/>
        <v>47.52</v>
      </c>
      <c r="I53">
        <v>1</v>
      </c>
      <c r="J53" t="b">
        <v>0</v>
      </c>
      <c r="K53" t="b">
        <v>1</v>
      </c>
      <c r="L53">
        <v>0</v>
      </c>
      <c r="M53" t="s">
        <v>391</v>
      </c>
      <c r="N53" t="b">
        <v>1</v>
      </c>
      <c r="O53">
        <v>0</v>
      </c>
      <c r="P53">
        <v>144</v>
      </c>
    </row>
    <row r="54" spans="1:16" x14ac:dyDescent="0.25">
      <c r="A54" s="1">
        <v>52</v>
      </c>
      <c r="B54" t="s">
        <v>392</v>
      </c>
      <c r="C54">
        <v>10</v>
      </c>
      <c r="D54">
        <f t="shared" si="1"/>
        <v>148.79999999999998</v>
      </c>
      <c r="E54">
        <v>1</v>
      </c>
      <c r="G54">
        <f t="shared" si="2"/>
        <v>-81.84</v>
      </c>
      <c r="H54">
        <f t="shared" si="3"/>
        <v>81.84</v>
      </c>
      <c r="I54">
        <v>1</v>
      </c>
      <c r="J54" t="b">
        <v>0</v>
      </c>
      <c r="K54" t="b">
        <v>1</v>
      </c>
      <c r="L54">
        <v>0</v>
      </c>
      <c r="M54" t="s">
        <v>368</v>
      </c>
      <c r="N54" t="b">
        <v>1</v>
      </c>
      <c r="O54">
        <v>0</v>
      </c>
      <c r="P54">
        <v>248</v>
      </c>
    </row>
    <row r="55" spans="1:16" x14ac:dyDescent="0.25">
      <c r="A55" s="1">
        <v>53</v>
      </c>
      <c r="B55" t="s">
        <v>393</v>
      </c>
      <c r="C55">
        <v>10</v>
      </c>
      <c r="D55">
        <f t="shared" si="1"/>
        <v>61.8</v>
      </c>
      <c r="E55">
        <v>1</v>
      </c>
      <c r="G55">
        <f t="shared" si="2"/>
        <v>-33.99</v>
      </c>
      <c r="H55">
        <f t="shared" si="3"/>
        <v>33.99</v>
      </c>
      <c r="I55">
        <v>1</v>
      </c>
      <c r="J55" t="b">
        <v>0</v>
      </c>
      <c r="K55" t="b">
        <v>1</v>
      </c>
      <c r="L55">
        <v>0</v>
      </c>
      <c r="M55" t="s">
        <v>368</v>
      </c>
      <c r="N55" t="b">
        <v>1</v>
      </c>
      <c r="O55">
        <v>0</v>
      </c>
      <c r="P55">
        <v>103</v>
      </c>
    </row>
    <row r="56" spans="1:16" x14ac:dyDescent="0.25">
      <c r="A56" s="1">
        <v>54</v>
      </c>
      <c r="B56" t="s">
        <v>393</v>
      </c>
      <c r="C56">
        <v>10</v>
      </c>
      <c r="D56">
        <f t="shared" si="1"/>
        <v>135</v>
      </c>
      <c r="E56">
        <v>1</v>
      </c>
      <c r="G56">
        <f t="shared" si="2"/>
        <v>-74.25</v>
      </c>
      <c r="H56">
        <f t="shared" si="3"/>
        <v>74.25</v>
      </c>
      <c r="I56">
        <v>1</v>
      </c>
      <c r="J56" t="b">
        <v>0</v>
      </c>
      <c r="K56" t="b">
        <v>1</v>
      </c>
      <c r="L56">
        <v>0</v>
      </c>
      <c r="M56" t="s">
        <v>368</v>
      </c>
      <c r="N56" t="b">
        <v>1</v>
      </c>
      <c r="O56">
        <v>0</v>
      </c>
      <c r="P56">
        <v>225</v>
      </c>
    </row>
    <row r="57" spans="1:16" x14ac:dyDescent="0.25">
      <c r="A57" s="1">
        <v>55</v>
      </c>
      <c r="B57" t="s">
        <v>394</v>
      </c>
      <c r="C57">
        <v>15</v>
      </c>
      <c r="D57">
        <f t="shared" si="1"/>
        <v>40.199999999999996</v>
      </c>
      <c r="E57">
        <v>1</v>
      </c>
      <c r="G57">
        <f t="shared" si="2"/>
        <v>-22.11</v>
      </c>
      <c r="H57">
        <f t="shared" si="3"/>
        <v>22.11</v>
      </c>
      <c r="I57">
        <v>1</v>
      </c>
      <c r="J57" t="b">
        <v>0</v>
      </c>
      <c r="K57" t="b">
        <v>1</v>
      </c>
      <c r="L57">
        <v>0</v>
      </c>
      <c r="M57" t="s">
        <v>395</v>
      </c>
      <c r="N57" t="b">
        <v>1</v>
      </c>
      <c r="O57">
        <v>0</v>
      </c>
      <c r="P57">
        <v>67</v>
      </c>
    </row>
    <row r="58" spans="1:16" x14ac:dyDescent="0.25">
      <c r="A58" s="1">
        <v>56</v>
      </c>
      <c r="B58" t="s">
        <v>390</v>
      </c>
      <c r="C58">
        <v>12</v>
      </c>
      <c r="D58">
        <f t="shared" si="1"/>
        <v>276</v>
      </c>
      <c r="E58">
        <v>1</v>
      </c>
      <c r="G58">
        <f t="shared" si="2"/>
        <v>-151.80000000000001</v>
      </c>
      <c r="H58">
        <f t="shared" si="3"/>
        <v>151.80000000000001</v>
      </c>
      <c r="I58">
        <v>1</v>
      </c>
      <c r="J58" t="b">
        <v>0</v>
      </c>
      <c r="K58" t="b">
        <v>1</v>
      </c>
      <c r="L58">
        <v>0</v>
      </c>
      <c r="M58" t="s">
        <v>396</v>
      </c>
      <c r="N58" t="b">
        <v>1</v>
      </c>
      <c r="O58">
        <v>0</v>
      </c>
      <c r="P58">
        <v>460</v>
      </c>
    </row>
    <row r="59" spans="1:16" x14ac:dyDescent="0.25">
      <c r="A59" s="1">
        <v>57</v>
      </c>
      <c r="B59" t="s">
        <v>390</v>
      </c>
      <c r="C59">
        <v>12</v>
      </c>
      <c r="D59">
        <f t="shared" si="1"/>
        <v>228</v>
      </c>
      <c r="E59">
        <v>1</v>
      </c>
      <c r="G59">
        <f t="shared" si="2"/>
        <v>-125.4</v>
      </c>
      <c r="H59">
        <f t="shared" si="3"/>
        <v>125.4</v>
      </c>
      <c r="I59">
        <v>1</v>
      </c>
      <c r="J59" t="b">
        <v>0</v>
      </c>
      <c r="K59" t="b">
        <v>1</v>
      </c>
      <c r="L59">
        <v>0</v>
      </c>
      <c r="M59" t="s">
        <v>391</v>
      </c>
      <c r="N59" t="b">
        <v>1</v>
      </c>
      <c r="O59">
        <v>0</v>
      </c>
      <c r="P59">
        <v>380</v>
      </c>
    </row>
    <row r="60" spans="1:16" x14ac:dyDescent="0.25">
      <c r="A60" s="1">
        <v>58</v>
      </c>
      <c r="B60" t="s">
        <v>389</v>
      </c>
      <c r="C60">
        <v>29</v>
      </c>
      <c r="D60">
        <f t="shared" si="1"/>
        <v>264</v>
      </c>
      <c r="E60">
        <v>1</v>
      </c>
      <c r="G60">
        <f t="shared" si="2"/>
        <v>-145.20000000000002</v>
      </c>
      <c r="H60">
        <f t="shared" si="3"/>
        <v>145.20000000000002</v>
      </c>
      <c r="I60">
        <v>1</v>
      </c>
      <c r="J60" t="b">
        <v>0</v>
      </c>
      <c r="K60" t="b">
        <v>1</v>
      </c>
      <c r="L60">
        <v>0</v>
      </c>
      <c r="M60" t="s">
        <v>354</v>
      </c>
      <c r="N60" t="b">
        <v>1</v>
      </c>
      <c r="O60">
        <v>0</v>
      </c>
      <c r="P60">
        <v>440</v>
      </c>
    </row>
    <row r="61" spans="1:16" x14ac:dyDescent="0.25">
      <c r="A61" s="1">
        <v>59</v>
      </c>
      <c r="B61" t="s">
        <v>397</v>
      </c>
      <c r="C61">
        <v>28</v>
      </c>
      <c r="D61">
        <f t="shared" si="1"/>
        <v>255.6</v>
      </c>
      <c r="E61">
        <v>1</v>
      </c>
      <c r="G61">
        <f t="shared" si="2"/>
        <v>-140.58000000000001</v>
      </c>
      <c r="H61">
        <f t="shared" si="3"/>
        <v>140.58000000000001</v>
      </c>
      <c r="I61">
        <v>1</v>
      </c>
      <c r="J61" t="b">
        <v>0</v>
      </c>
      <c r="K61" t="b">
        <v>1</v>
      </c>
      <c r="L61">
        <v>0</v>
      </c>
      <c r="M61" t="s">
        <v>354</v>
      </c>
      <c r="N61" t="b">
        <v>1</v>
      </c>
      <c r="O61">
        <v>0</v>
      </c>
      <c r="P61">
        <v>426</v>
      </c>
    </row>
    <row r="62" spans="1:16" x14ac:dyDescent="0.25">
      <c r="A62" s="1">
        <v>60</v>
      </c>
      <c r="B62" t="s">
        <v>398</v>
      </c>
      <c r="C62">
        <v>22</v>
      </c>
      <c r="D62">
        <f t="shared" si="1"/>
        <v>210.6</v>
      </c>
      <c r="E62">
        <v>1</v>
      </c>
      <c r="G62">
        <f t="shared" si="2"/>
        <v>-115.83000000000001</v>
      </c>
      <c r="H62">
        <f t="shared" si="3"/>
        <v>115.83000000000001</v>
      </c>
      <c r="I62">
        <v>1</v>
      </c>
      <c r="J62" t="b">
        <v>0</v>
      </c>
      <c r="K62" t="b">
        <v>1</v>
      </c>
      <c r="L62">
        <v>0</v>
      </c>
      <c r="M62" t="s">
        <v>378</v>
      </c>
      <c r="N62" t="b">
        <v>1</v>
      </c>
      <c r="O62">
        <v>0</v>
      </c>
      <c r="P62">
        <v>351</v>
      </c>
    </row>
    <row r="63" spans="1:16" x14ac:dyDescent="0.25">
      <c r="A63" s="1">
        <v>61</v>
      </c>
      <c r="B63" t="s">
        <v>398</v>
      </c>
      <c r="C63">
        <v>22</v>
      </c>
      <c r="D63">
        <f t="shared" si="1"/>
        <v>249</v>
      </c>
      <c r="E63">
        <v>1</v>
      </c>
      <c r="G63">
        <f t="shared" si="2"/>
        <v>-136.95000000000002</v>
      </c>
      <c r="H63">
        <f t="shared" si="3"/>
        <v>136.95000000000002</v>
      </c>
      <c r="I63">
        <v>1</v>
      </c>
      <c r="J63" t="b">
        <v>0</v>
      </c>
      <c r="K63" t="b">
        <v>1</v>
      </c>
      <c r="L63">
        <v>0</v>
      </c>
      <c r="M63" t="s">
        <v>354</v>
      </c>
      <c r="N63" t="b">
        <v>1</v>
      </c>
      <c r="O63">
        <v>0</v>
      </c>
      <c r="P63">
        <v>415</v>
      </c>
    </row>
    <row r="64" spans="1:16" x14ac:dyDescent="0.25">
      <c r="A64" s="1">
        <v>62</v>
      </c>
      <c r="B64" t="s">
        <v>399</v>
      </c>
      <c r="C64">
        <v>30</v>
      </c>
      <c r="D64">
        <f t="shared" si="1"/>
        <v>14.399999999999999</v>
      </c>
      <c r="E64">
        <v>1</v>
      </c>
      <c r="G64">
        <f t="shared" si="2"/>
        <v>-7.92</v>
      </c>
      <c r="H64">
        <f t="shared" si="3"/>
        <v>7.92</v>
      </c>
      <c r="I64">
        <v>1</v>
      </c>
      <c r="J64" t="b">
        <v>0</v>
      </c>
      <c r="K64" t="b">
        <v>1</v>
      </c>
      <c r="L64">
        <v>0</v>
      </c>
      <c r="M64" t="s">
        <v>368</v>
      </c>
      <c r="N64" t="b">
        <v>1</v>
      </c>
      <c r="O64">
        <v>0</v>
      </c>
      <c r="P64">
        <v>24</v>
      </c>
    </row>
    <row r="65" spans="1:16" x14ac:dyDescent="0.25">
      <c r="A65" s="1">
        <v>63</v>
      </c>
      <c r="B65" t="s">
        <v>400</v>
      </c>
      <c r="C65">
        <v>21</v>
      </c>
      <c r="D65">
        <f t="shared" si="1"/>
        <v>262.2</v>
      </c>
      <c r="E65">
        <v>1</v>
      </c>
      <c r="G65">
        <f t="shared" si="2"/>
        <v>-144.21</v>
      </c>
      <c r="H65">
        <f t="shared" si="3"/>
        <v>144.21</v>
      </c>
      <c r="I65">
        <v>1</v>
      </c>
      <c r="J65" t="b">
        <v>0</v>
      </c>
      <c r="K65" t="b">
        <v>1</v>
      </c>
      <c r="L65">
        <v>0</v>
      </c>
      <c r="M65" t="s">
        <v>354</v>
      </c>
      <c r="N65" t="b">
        <v>1</v>
      </c>
      <c r="O65">
        <v>0</v>
      </c>
      <c r="P65">
        <v>437</v>
      </c>
    </row>
    <row r="66" spans="1:16" x14ac:dyDescent="0.25">
      <c r="A66" s="1">
        <v>64</v>
      </c>
      <c r="B66" t="s">
        <v>400</v>
      </c>
      <c r="C66">
        <v>21</v>
      </c>
      <c r="D66">
        <f t="shared" si="1"/>
        <v>262.2</v>
      </c>
      <c r="E66">
        <v>1</v>
      </c>
      <c r="G66">
        <f t="shared" si="2"/>
        <v>-144.21</v>
      </c>
      <c r="H66">
        <f t="shared" si="3"/>
        <v>144.21</v>
      </c>
      <c r="I66">
        <v>1</v>
      </c>
      <c r="J66" t="b">
        <v>0</v>
      </c>
      <c r="K66" t="b">
        <v>1</v>
      </c>
      <c r="L66">
        <v>0</v>
      </c>
      <c r="M66" t="s">
        <v>354</v>
      </c>
      <c r="N66" t="b">
        <v>1</v>
      </c>
      <c r="O66">
        <v>0</v>
      </c>
      <c r="P66">
        <v>437</v>
      </c>
    </row>
    <row r="67" spans="1:16" x14ac:dyDescent="0.25">
      <c r="A67" s="1">
        <v>65</v>
      </c>
      <c r="B67" t="s">
        <v>400</v>
      </c>
      <c r="C67">
        <v>21</v>
      </c>
      <c r="D67">
        <f t="shared" si="1"/>
        <v>262.2</v>
      </c>
      <c r="E67">
        <v>1</v>
      </c>
      <c r="G67">
        <f t="shared" si="2"/>
        <v>-144.21</v>
      </c>
      <c r="H67">
        <f t="shared" si="3"/>
        <v>144.21</v>
      </c>
      <c r="I67">
        <v>1</v>
      </c>
      <c r="J67" t="b">
        <v>0</v>
      </c>
      <c r="K67" t="b">
        <v>1</v>
      </c>
      <c r="L67">
        <v>0</v>
      </c>
      <c r="M67" t="s">
        <v>354</v>
      </c>
      <c r="N67" t="b">
        <v>1</v>
      </c>
      <c r="O67">
        <v>0</v>
      </c>
      <c r="P67">
        <v>437</v>
      </c>
    </row>
    <row r="68" spans="1:16" x14ac:dyDescent="0.25">
      <c r="A68" s="1">
        <v>66</v>
      </c>
      <c r="B68" t="s">
        <v>388</v>
      </c>
      <c r="C68">
        <v>15</v>
      </c>
      <c r="D68">
        <f t="shared" si="1"/>
        <v>261</v>
      </c>
      <c r="E68">
        <v>1</v>
      </c>
      <c r="G68">
        <f t="shared" si="2"/>
        <v>-143.55000000000001</v>
      </c>
      <c r="H68">
        <f t="shared" si="3"/>
        <v>143.55000000000001</v>
      </c>
      <c r="I68">
        <v>1</v>
      </c>
      <c r="J68" t="b">
        <v>0</v>
      </c>
      <c r="K68" t="b">
        <v>1</v>
      </c>
      <c r="L68">
        <v>0</v>
      </c>
      <c r="M68" t="s">
        <v>368</v>
      </c>
      <c r="N68" t="b">
        <v>1</v>
      </c>
      <c r="O68">
        <v>0</v>
      </c>
      <c r="P68">
        <v>435</v>
      </c>
    </row>
    <row r="69" spans="1:16" x14ac:dyDescent="0.25">
      <c r="A69" s="1">
        <v>67</v>
      </c>
      <c r="B69" t="s">
        <v>401</v>
      </c>
      <c r="C69">
        <v>22</v>
      </c>
      <c r="D69">
        <f t="shared" si="1"/>
        <v>72</v>
      </c>
      <c r="E69">
        <v>1</v>
      </c>
      <c r="G69">
        <f t="shared" si="2"/>
        <v>-39.6</v>
      </c>
      <c r="H69">
        <f t="shared" si="3"/>
        <v>39.6</v>
      </c>
      <c r="I69">
        <v>1</v>
      </c>
      <c r="J69" t="b">
        <v>0</v>
      </c>
      <c r="K69" t="b">
        <v>1</v>
      </c>
      <c r="L69">
        <v>0</v>
      </c>
      <c r="M69" t="s">
        <v>360</v>
      </c>
      <c r="N69" t="b">
        <v>1</v>
      </c>
      <c r="O69">
        <v>0</v>
      </c>
      <c r="P69">
        <v>120</v>
      </c>
    </row>
    <row r="70" spans="1:16" x14ac:dyDescent="0.25">
      <c r="A70" s="1">
        <v>68</v>
      </c>
      <c r="B70" t="s">
        <v>402</v>
      </c>
      <c r="C70">
        <v>22</v>
      </c>
      <c r="D70">
        <f t="shared" si="1"/>
        <v>21.599999999999998</v>
      </c>
      <c r="E70">
        <v>1</v>
      </c>
      <c r="G70">
        <f t="shared" si="2"/>
        <v>-11.88</v>
      </c>
      <c r="H70">
        <f t="shared" si="3"/>
        <v>11.88</v>
      </c>
      <c r="I70">
        <v>1</v>
      </c>
      <c r="J70" t="b">
        <v>0</v>
      </c>
      <c r="K70" t="b">
        <v>1</v>
      </c>
      <c r="L70">
        <v>0</v>
      </c>
      <c r="M70" t="s">
        <v>384</v>
      </c>
      <c r="N70" t="b">
        <v>1</v>
      </c>
      <c r="O70">
        <v>0</v>
      </c>
      <c r="P70">
        <v>36</v>
      </c>
    </row>
    <row r="71" spans="1:16" x14ac:dyDescent="0.25">
      <c r="A71" s="1">
        <v>69</v>
      </c>
      <c r="B71" t="s">
        <v>403</v>
      </c>
      <c r="C71">
        <v>23</v>
      </c>
      <c r="D71">
        <f t="shared" si="1"/>
        <v>13.799999999999999</v>
      </c>
      <c r="E71">
        <v>1</v>
      </c>
      <c r="G71">
        <f t="shared" si="2"/>
        <v>-7.5900000000000007</v>
      </c>
      <c r="H71">
        <f t="shared" si="3"/>
        <v>7.5900000000000007</v>
      </c>
      <c r="I71">
        <v>1</v>
      </c>
      <c r="J71" t="b">
        <v>0</v>
      </c>
      <c r="K71" t="b">
        <v>1</v>
      </c>
      <c r="L71">
        <v>0</v>
      </c>
      <c r="M71" t="s">
        <v>384</v>
      </c>
      <c r="N71" t="b">
        <v>1</v>
      </c>
      <c r="O71">
        <v>0</v>
      </c>
      <c r="P71">
        <v>23</v>
      </c>
    </row>
    <row r="72" spans="1:16" x14ac:dyDescent="0.25">
      <c r="A72" s="1">
        <v>70</v>
      </c>
      <c r="B72" t="s">
        <v>404</v>
      </c>
      <c r="C72">
        <v>8</v>
      </c>
      <c r="D72">
        <f t="shared" si="1"/>
        <v>30</v>
      </c>
      <c r="E72">
        <v>1</v>
      </c>
      <c r="G72">
        <f t="shared" si="2"/>
        <v>-16.5</v>
      </c>
      <c r="H72">
        <f t="shared" si="3"/>
        <v>16.5</v>
      </c>
      <c r="I72">
        <v>1</v>
      </c>
      <c r="J72" t="b">
        <v>0</v>
      </c>
      <c r="K72" t="b">
        <v>1</v>
      </c>
      <c r="L72">
        <v>0</v>
      </c>
      <c r="M72" t="s">
        <v>384</v>
      </c>
      <c r="N72" t="b">
        <v>1</v>
      </c>
      <c r="O72">
        <v>0</v>
      </c>
      <c r="P72">
        <v>50</v>
      </c>
    </row>
    <row r="73" spans="1:16" x14ac:dyDescent="0.25">
      <c r="A73" s="4">
        <v>71</v>
      </c>
      <c r="B73" t="s">
        <v>405</v>
      </c>
      <c r="C73" s="10">
        <v>51</v>
      </c>
      <c r="D73">
        <f t="shared" si="1"/>
        <v>73.2</v>
      </c>
      <c r="E73">
        <v>1</v>
      </c>
      <c r="G73">
        <f t="shared" si="2"/>
        <v>-40.260000000000005</v>
      </c>
      <c r="H73">
        <f t="shared" si="3"/>
        <v>40.260000000000005</v>
      </c>
      <c r="I73">
        <v>1</v>
      </c>
      <c r="J73" t="b">
        <v>0</v>
      </c>
      <c r="K73" t="b">
        <v>1</v>
      </c>
      <c r="L73">
        <v>0</v>
      </c>
      <c r="M73" t="s">
        <v>360</v>
      </c>
      <c r="N73" t="b">
        <v>1</v>
      </c>
      <c r="O73">
        <v>0</v>
      </c>
      <c r="P73">
        <v>122</v>
      </c>
    </row>
    <row r="74" spans="1:16" x14ac:dyDescent="0.25">
      <c r="A74" s="4">
        <v>72</v>
      </c>
      <c r="B74" t="s">
        <v>406</v>
      </c>
      <c r="C74" s="10">
        <v>17</v>
      </c>
      <c r="D74">
        <f t="shared" si="1"/>
        <v>18.599999999999998</v>
      </c>
      <c r="E74">
        <v>1</v>
      </c>
      <c r="G74">
        <f t="shared" si="2"/>
        <v>-10.23</v>
      </c>
      <c r="H74">
        <f t="shared" si="3"/>
        <v>10.23</v>
      </c>
      <c r="I74">
        <v>1</v>
      </c>
      <c r="J74" t="b">
        <v>0</v>
      </c>
      <c r="K74" t="b">
        <v>1</v>
      </c>
      <c r="L74">
        <v>0</v>
      </c>
      <c r="M74" t="s">
        <v>360</v>
      </c>
      <c r="N74" t="b">
        <v>1</v>
      </c>
      <c r="O74">
        <v>0</v>
      </c>
      <c r="P74">
        <v>31</v>
      </c>
    </row>
    <row r="75" spans="1:16" x14ac:dyDescent="0.25">
      <c r="A75" s="4">
        <v>73</v>
      </c>
      <c r="B75" t="s">
        <v>407</v>
      </c>
      <c r="C75" s="10">
        <v>23</v>
      </c>
      <c r="D75">
        <f t="shared" si="1"/>
        <v>30</v>
      </c>
      <c r="E75">
        <v>1</v>
      </c>
      <c r="G75">
        <f t="shared" si="2"/>
        <v>-16.5</v>
      </c>
      <c r="H75">
        <f t="shared" si="3"/>
        <v>16.5</v>
      </c>
      <c r="I75">
        <v>1</v>
      </c>
      <c r="J75" t="b">
        <v>0</v>
      </c>
      <c r="K75" t="b">
        <v>1</v>
      </c>
      <c r="L75">
        <v>0</v>
      </c>
      <c r="M75" t="s">
        <v>360</v>
      </c>
      <c r="N75" t="b">
        <v>1</v>
      </c>
      <c r="O75">
        <v>0</v>
      </c>
      <c r="P75">
        <v>50</v>
      </c>
    </row>
    <row r="76" spans="1:16" x14ac:dyDescent="0.25">
      <c r="A76" s="4">
        <v>74</v>
      </c>
      <c r="B76" t="s">
        <v>408</v>
      </c>
      <c r="C76" s="10">
        <v>8</v>
      </c>
      <c r="D76">
        <f t="shared" ref="D76:D82" si="4">0.6*P76</f>
        <v>21.599999999999998</v>
      </c>
      <c r="E76">
        <v>1</v>
      </c>
      <c r="G76">
        <f t="shared" ref="G76:G82" si="5">-H76</f>
        <v>-11.88</v>
      </c>
      <c r="H76">
        <f t="shared" ref="H76:H82" si="6">0.33*P76</f>
        <v>11.88</v>
      </c>
      <c r="I76">
        <v>1</v>
      </c>
      <c r="J76" t="b">
        <v>0</v>
      </c>
      <c r="K76" t="b">
        <v>1</v>
      </c>
      <c r="L76">
        <v>0</v>
      </c>
      <c r="M76" t="s">
        <v>360</v>
      </c>
      <c r="N76" t="b">
        <v>1</v>
      </c>
      <c r="O76">
        <v>0</v>
      </c>
      <c r="P76">
        <v>36</v>
      </c>
    </row>
    <row r="77" spans="1:16" x14ac:dyDescent="0.25">
      <c r="A77" s="4">
        <v>75</v>
      </c>
      <c r="B77" t="s">
        <v>409</v>
      </c>
      <c r="C77" s="10">
        <v>12</v>
      </c>
      <c r="D77">
        <f t="shared" si="4"/>
        <v>39</v>
      </c>
      <c r="E77">
        <v>1</v>
      </c>
      <c r="G77">
        <f t="shared" si="5"/>
        <v>-21.45</v>
      </c>
      <c r="H77">
        <f t="shared" si="6"/>
        <v>21.45</v>
      </c>
      <c r="I77">
        <v>1</v>
      </c>
      <c r="J77" t="b">
        <v>0</v>
      </c>
      <c r="K77" t="b">
        <v>1</v>
      </c>
      <c r="L77">
        <v>0</v>
      </c>
      <c r="M77" t="s">
        <v>360</v>
      </c>
      <c r="N77" t="b">
        <v>1</v>
      </c>
      <c r="O77">
        <v>0</v>
      </c>
      <c r="P77">
        <v>65</v>
      </c>
    </row>
    <row r="78" spans="1:16" x14ac:dyDescent="0.25">
      <c r="A78" s="4">
        <v>76</v>
      </c>
      <c r="B78" t="s">
        <v>410</v>
      </c>
      <c r="C78" s="10">
        <v>14</v>
      </c>
      <c r="D78">
        <f t="shared" si="4"/>
        <v>19.2</v>
      </c>
      <c r="E78">
        <v>1</v>
      </c>
      <c r="G78">
        <f t="shared" si="5"/>
        <v>-10.56</v>
      </c>
      <c r="H78">
        <f t="shared" si="6"/>
        <v>10.56</v>
      </c>
      <c r="I78">
        <v>1</v>
      </c>
      <c r="J78" t="b">
        <v>0</v>
      </c>
      <c r="K78" t="b">
        <v>1</v>
      </c>
      <c r="L78">
        <v>0</v>
      </c>
      <c r="M78" t="s">
        <v>360</v>
      </c>
      <c r="N78" t="b">
        <v>1</v>
      </c>
      <c r="O78">
        <v>0</v>
      </c>
      <c r="P78">
        <v>32</v>
      </c>
    </row>
    <row r="79" spans="1:16" x14ac:dyDescent="0.25">
      <c r="A79" s="4">
        <v>77</v>
      </c>
      <c r="B79" t="s">
        <v>411</v>
      </c>
      <c r="C79" s="10">
        <v>29</v>
      </c>
      <c r="D79">
        <f t="shared" si="4"/>
        <v>90</v>
      </c>
      <c r="E79">
        <v>1</v>
      </c>
      <c r="G79">
        <f t="shared" si="5"/>
        <v>-49.5</v>
      </c>
      <c r="H79">
        <f t="shared" si="6"/>
        <v>49.5</v>
      </c>
      <c r="I79">
        <v>1</v>
      </c>
      <c r="J79" t="b">
        <v>0</v>
      </c>
      <c r="K79" t="b">
        <v>1</v>
      </c>
      <c r="L79">
        <v>0</v>
      </c>
      <c r="M79" t="s">
        <v>360</v>
      </c>
      <c r="N79" t="b">
        <v>1</v>
      </c>
      <c r="O79">
        <v>0</v>
      </c>
      <c r="P79">
        <v>150</v>
      </c>
    </row>
    <row r="80" spans="1:16" x14ac:dyDescent="0.25">
      <c r="A80" s="4">
        <v>78</v>
      </c>
      <c r="B80" t="s">
        <v>412</v>
      </c>
      <c r="C80" s="10">
        <v>51</v>
      </c>
      <c r="D80">
        <f t="shared" si="4"/>
        <v>36</v>
      </c>
      <c r="E80">
        <v>1</v>
      </c>
      <c r="G80">
        <f t="shared" si="5"/>
        <v>-19.8</v>
      </c>
      <c r="H80">
        <f t="shared" si="6"/>
        <v>19.8</v>
      </c>
      <c r="I80">
        <v>1</v>
      </c>
      <c r="J80" t="b">
        <v>0</v>
      </c>
      <c r="K80" t="b">
        <v>1</v>
      </c>
      <c r="L80">
        <v>0</v>
      </c>
      <c r="M80" t="s">
        <v>384</v>
      </c>
      <c r="N80" t="b">
        <v>1</v>
      </c>
      <c r="O80">
        <v>0</v>
      </c>
      <c r="P80">
        <v>60</v>
      </c>
    </row>
    <row r="81" spans="1:16" x14ac:dyDescent="0.25">
      <c r="A81" s="4">
        <v>79</v>
      </c>
      <c r="B81" t="s">
        <v>413</v>
      </c>
      <c r="C81" s="10">
        <v>50</v>
      </c>
      <c r="D81">
        <f t="shared" si="4"/>
        <v>19.2</v>
      </c>
      <c r="E81">
        <v>1</v>
      </c>
      <c r="G81">
        <f t="shared" si="5"/>
        <v>-10.56</v>
      </c>
      <c r="H81">
        <f t="shared" si="6"/>
        <v>10.56</v>
      </c>
      <c r="I81">
        <v>1</v>
      </c>
      <c r="J81" t="b">
        <v>0</v>
      </c>
      <c r="K81" t="b">
        <v>1</v>
      </c>
      <c r="L81">
        <v>0</v>
      </c>
      <c r="M81" t="s">
        <v>360</v>
      </c>
      <c r="N81" t="b">
        <v>1</v>
      </c>
      <c r="O81">
        <v>0</v>
      </c>
      <c r="P81">
        <v>32</v>
      </c>
    </row>
    <row r="82" spans="1:16" x14ac:dyDescent="0.25">
      <c r="A82" s="4">
        <v>80</v>
      </c>
      <c r="B82" t="s">
        <v>414</v>
      </c>
      <c r="C82" s="10">
        <v>48</v>
      </c>
      <c r="D82">
        <f t="shared" si="4"/>
        <v>30</v>
      </c>
      <c r="E82">
        <v>1</v>
      </c>
      <c r="G82">
        <f t="shared" si="5"/>
        <v>-16.5</v>
      </c>
      <c r="H82">
        <f t="shared" si="6"/>
        <v>16.5</v>
      </c>
      <c r="I82">
        <v>1</v>
      </c>
      <c r="J82" t="b">
        <v>0</v>
      </c>
      <c r="K82" t="b">
        <v>1</v>
      </c>
      <c r="L82">
        <v>0</v>
      </c>
      <c r="M82" t="s">
        <v>360</v>
      </c>
      <c r="N82" t="b">
        <v>1</v>
      </c>
      <c r="O82">
        <v>0</v>
      </c>
      <c r="P82">
        <v>50</v>
      </c>
    </row>
    <row r="83" spans="1:16" x14ac:dyDescent="0.25">
      <c r="A83" s="1">
        <v>81</v>
      </c>
      <c r="B83" s="11" t="s">
        <v>308</v>
      </c>
      <c r="C83">
        <v>21</v>
      </c>
      <c r="D83" s="18">
        <f>0.35*gen!P83</f>
        <v>210</v>
      </c>
      <c r="E83">
        <v>1</v>
      </c>
      <c r="G83">
        <f t="shared" ref="G83:G114" si="7">-H83</f>
        <v>-198</v>
      </c>
      <c r="H83">
        <f>0.33*gen!P83</f>
        <v>198</v>
      </c>
      <c r="I83">
        <v>1</v>
      </c>
      <c r="J83" t="b">
        <v>0</v>
      </c>
      <c r="K83" t="b">
        <v>1</v>
      </c>
      <c r="L83">
        <v>0</v>
      </c>
      <c r="M83" s="11" t="s">
        <v>309</v>
      </c>
      <c r="N83" t="b">
        <v>1</v>
      </c>
      <c r="O83">
        <v>0</v>
      </c>
      <c r="P83">
        <v>600</v>
      </c>
    </row>
    <row r="84" spans="1:16" x14ac:dyDescent="0.25">
      <c r="A84" s="1">
        <v>82</v>
      </c>
      <c r="B84" s="14" t="s">
        <v>310</v>
      </c>
      <c r="C84">
        <v>13</v>
      </c>
      <c r="D84" s="18">
        <f>0.35*gen!P84</f>
        <v>45.15</v>
      </c>
      <c r="E84">
        <v>1</v>
      </c>
      <c r="G84">
        <f t="shared" si="7"/>
        <v>-42.57</v>
      </c>
      <c r="H84">
        <f>0.33*gen!P84</f>
        <v>42.57</v>
      </c>
      <c r="I84">
        <v>1</v>
      </c>
      <c r="J84" t="b">
        <v>0</v>
      </c>
      <c r="K84" t="b">
        <v>1</v>
      </c>
      <c r="L84">
        <v>0</v>
      </c>
      <c r="M84" s="11" t="s">
        <v>309</v>
      </c>
      <c r="N84" t="b">
        <v>1</v>
      </c>
      <c r="O84">
        <v>0</v>
      </c>
      <c r="P84">
        <v>129</v>
      </c>
    </row>
    <row r="85" spans="1:16" x14ac:dyDescent="0.25">
      <c r="A85" s="1">
        <v>83</v>
      </c>
      <c r="B85" s="14" t="s">
        <v>311</v>
      </c>
      <c r="C85">
        <v>12</v>
      </c>
      <c r="D85" s="18">
        <f>0.35*gen!P85</f>
        <v>42</v>
      </c>
      <c r="E85">
        <v>1</v>
      </c>
      <c r="G85">
        <f t="shared" si="7"/>
        <v>-39.6</v>
      </c>
      <c r="H85">
        <f>0.33*gen!P85</f>
        <v>39.6</v>
      </c>
      <c r="I85">
        <v>1</v>
      </c>
      <c r="J85" t="b">
        <v>0</v>
      </c>
      <c r="K85" t="b">
        <v>1</v>
      </c>
      <c r="L85">
        <v>0</v>
      </c>
      <c r="M85" s="11" t="s">
        <v>309</v>
      </c>
      <c r="N85" t="b">
        <v>1</v>
      </c>
      <c r="O85">
        <v>0</v>
      </c>
      <c r="P85">
        <v>120</v>
      </c>
    </row>
    <row r="86" spans="1:16" x14ac:dyDescent="0.25">
      <c r="A86" s="1">
        <v>84</v>
      </c>
      <c r="B86" s="14" t="s">
        <v>312</v>
      </c>
      <c r="C86">
        <v>12</v>
      </c>
      <c r="D86" s="18">
        <f>0.35*gen!P86</f>
        <v>37.799999999999997</v>
      </c>
      <c r="E86">
        <v>1</v>
      </c>
      <c r="G86">
        <f t="shared" si="7"/>
        <v>-35.64</v>
      </c>
      <c r="H86">
        <f>0.33*gen!P86</f>
        <v>35.64</v>
      </c>
      <c r="I86">
        <v>1</v>
      </c>
      <c r="J86" t="b">
        <v>0</v>
      </c>
      <c r="K86" t="b">
        <v>1</v>
      </c>
      <c r="L86">
        <v>0</v>
      </c>
      <c r="M86" s="11" t="s">
        <v>309</v>
      </c>
      <c r="N86" t="b">
        <v>1</v>
      </c>
      <c r="O86">
        <v>0</v>
      </c>
      <c r="P86">
        <v>108</v>
      </c>
    </row>
    <row r="87" spans="1:16" x14ac:dyDescent="0.25">
      <c r="A87" s="1">
        <v>85</v>
      </c>
      <c r="B87" t="s">
        <v>313</v>
      </c>
      <c r="C87">
        <v>15</v>
      </c>
      <c r="D87" s="18">
        <f>0.35*gen!P87</f>
        <v>42.699999999999996</v>
      </c>
      <c r="E87">
        <v>1</v>
      </c>
      <c r="G87">
        <f t="shared" si="7"/>
        <v>-40.260000000000005</v>
      </c>
      <c r="H87">
        <f>0.33*gen!P87</f>
        <v>40.260000000000005</v>
      </c>
      <c r="I87">
        <v>1</v>
      </c>
      <c r="J87" t="b">
        <v>0</v>
      </c>
      <c r="K87" t="b">
        <v>1</v>
      </c>
      <c r="L87">
        <v>0</v>
      </c>
      <c r="M87" s="11" t="s">
        <v>309</v>
      </c>
      <c r="N87" t="b">
        <v>1</v>
      </c>
      <c r="O87">
        <v>0</v>
      </c>
      <c r="P87">
        <v>122</v>
      </c>
    </row>
    <row r="88" spans="1:16" x14ac:dyDescent="0.25">
      <c r="A88" s="1">
        <v>86</v>
      </c>
      <c r="B88" t="s">
        <v>314</v>
      </c>
      <c r="C88">
        <v>6</v>
      </c>
      <c r="D88" s="18">
        <f>0.35*gen!P88</f>
        <v>59.849999999999994</v>
      </c>
      <c r="E88">
        <v>1</v>
      </c>
      <c r="G88">
        <f t="shared" si="7"/>
        <v>-56.43</v>
      </c>
      <c r="H88">
        <f>0.33*gen!P88</f>
        <v>56.43</v>
      </c>
      <c r="I88">
        <v>1</v>
      </c>
      <c r="J88" t="b">
        <v>0</v>
      </c>
      <c r="K88" t="b">
        <v>1</v>
      </c>
      <c r="L88">
        <v>0</v>
      </c>
      <c r="M88" s="11" t="s">
        <v>309</v>
      </c>
      <c r="N88" t="b">
        <v>1</v>
      </c>
      <c r="O88">
        <v>0</v>
      </c>
      <c r="P88">
        <v>171</v>
      </c>
    </row>
    <row r="89" spans="1:16" x14ac:dyDescent="0.25">
      <c r="A89" s="1">
        <v>87</v>
      </c>
      <c r="B89" t="s">
        <v>315</v>
      </c>
      <c r="C89">
        <v>5</v>
      </c>
      <c r="D89" s="18">
        <f>0.35*gen!P89</f>
        <v>50.4</v>
      </c>
      <c r="E89">
        <v>1</v>
      </c>
      <c r="G89">
        <f t="shared" si="7"/>
        <v>-47.52</v>
      </c>
      <c r="H89">
        <f>0.33*gen!P89</f>
        <v>47.52</v>
      </c>
      <c r="I89">
        <v>1</v>
      </c>
      <c r="J89" t="b">
        <v>0</v>
      </c>
      <c r="K89" t="b">
        <v>1</v>
      </c>
      <c r="L89">
        <v>0</v>
      </c>
      <c r="M89" s="11" t="s">
        <v>309</v>
      </c>
      <c r="N89" t="b">
        <v>1</v>
      </c>
      <c r="O89">
        <v>0</v>
      </c>
      <c r="P89">
        <v>144</v>
      </c>
    </row>
    <row r="90" spans="1:16" x14ac:dyDescent="0.25">
      <c r="A90" s="1">
        <v>88</v>
      </c>
      <c r="B90" t="s">
        <v>316</v>
      </c>
      <c r="C90">
        <v>5</v>
      </c>
      <c r="D90" s="18">
        <f>0.35*gen!P90</f>
        <v>99.75</v>
      </c>
      <c r="E90">
        <v>1</v>
      </c>
      <c r="G90">
        <f t="shared" si="7"/>
        <v>-94.050000000000011</v>
      </c>
      <c r="H90">
        <f>0.33*gen!P90</f>
        <v>94.050000000000011</v>
      </c>
      <c r="I90">
        <v>1</v>
      </c>
      <c r="J90" t="b">
        <v>0</v>
      </c>
      <c r="K90" t="b">
        <v>1</v>
      </c>
      <c r="L90">
        <v>0</v>
      </c>
      <c r="M90" s="11" t="s">
        <v>309</v>
      </c>
      <c r="N90" t="b">
        <v>1</v>
      </c>
      <c r="O90">
        <v>0</v>
      </c>
      <c r="P90">
        <v>285</v>
      </c>
    </row>
    <row r="91" spans="1:16" x14ac:dyDescent="0.25">
      <c r="A91" s="1">
        <v>89</v>
      </c>
      <c r="B91" t="s">
        <v>317</v>
      </c>
      <c r="C91">
        <v>28</v>
      </c>
      <c r="D91" s="18">
        <f>0.35*gen!P91</f>
        <v>35.699999999999996</v>
      </c>
      <c r="E91">
        <v>1</v>
      </c>
      <c r="G91">
        <f t="shared" si="7"/>
        <v>-33.660000000000004</v>
      </c>
      <c r="H91">
        <f>0.33*gen!P91</f>
        <v>33.660000000000004</v>
      </c>
      <c r="I91">
        <v>1</v>
      </c>
      <c r="J91" t="b">
        <v>0</v>
      </c>
      <c r="K91" t="b">
        <v>1</v>
      </c>
      <c r="L91">
        <v>0</v>
      </c>
      <c r="M91" s="11" t="s">
        <v>309</v>
      </c>
      <c r="N91" t="b">
        <v>1</v>
      </c>
      <c r="O91">
        <v>0</v>
      </c>
      <c r="P91">
        <v>102</v>
      </c>
    </row>
    <row r="92" spans="1:16" x14ac:dyDescent="0.25">
      <c r="A92" s="1">
        <v>90</v>
      </c>
      <c r="B92" t="s">
        <v>318</v>
      </c>
      <c r="C92">
        <v>30</v>
      </c>
      <c r="D92" s="18">
        <f>0.35*gen!P92</f>
        <v>28.874999999999996</v>
      </c>
      <c r="E92">
        <v>1</v>
      </c>
      <c r="G92">
        <f t="shared" si="7"/>
        <v>-27.225000000000001</v>
      </c>
      <c r="H92">
        <f>0.33*gen!P92</f>
        <v>27.225000000000001</v>
      </c>
      <c r="I92">
        <v>1</v>
      </c>
      <c r="J92" t="b">
        <v>0</v>
      </c>
      <c r="K92" t="b">
        <v>1</v>
      </c>
      <c r="L92">
        <v>0</v>
      </c>
      <c r="M92" s="11" t="s">
        <v>309</v>
      </c>
      <c r="N92" t="b">
        <v>1</v>
      </c>
      <c r="O92">
        <v>0</v>
      </c>
      <c r="P92">
        <v>82.5</v>
      </c>
    </row>
    <row r="93" spans="1:16" x14ac:dyDescent="0.25">
      <c r="A93" s="1">
        <v>91</v>
      </c>
      <c r="B93" t="s">
        <v>319</v>
      </c>
      <c r="C93">
        <v>8</v>
      </c>
      <c r="D93" s="18">
        <f>0.35*gen!P93</f>
        <v>21.945</v>
      </c>
      <c r="E93">
        <v>1</v>
      </c>
      <c r="G93">
        <f t="shared" si="7"/>
        <v>-20.691000000000003</v>
      </c>
      <c r="H93">
        <f>0.33*gen!P93</f>
        <v>20.691000000000003</v>
      </c>
      <c r="I93">
        <v>1</v>
      </c>
      <c r="J93" t="b">
        <v>0</v>
      </c>
      <c r="K93" t="b">
        <v>1</v>
      </c>
      <c r="L93">
        <v>0</v>
      </c>
      <c r="M93" s="11" t="s">
        <v>309</v>
      </c>
      <c r="N93" t="b">
        <v>1</v>
      </c>
      <c r="O93">
        <v>0</v>
      </c>
      <c r="P93">
        <v>62.7</v>
      </c>
    </row>
    <row r="94" spans="1:16" x14ac:dyDescent="0.25">
      <c r="A94" s="1">
        <v>92</v>
      </c>
      <c r="B94" t="s">
        <v>320</v>
      </c>
      <c r="C94">
        <v>28</v>
      </c>
      <c r="D94" s="18">
        <f>0.35*gen!P94</f>
        <v>17.639999999999997</v>
      </c>
      <c r="E94">
        <v>1</v>
      </c>
      <c r="G94">
        <f t="shared" si="7"/>
        <v>-16.632000000000001</v>
      </c>
      <c r="H94">
        <f>0.33*gen!P94</f>
        <v>16.632000000000001</v>
      </c>
      <c r="I94">
        <v>1</v>
      </c>
      <c r="J94" t="b">
        <v>0</v>
      </c>
      <c r="K94" t="b">
        <v>1</v>
      </c>
      <c r="L94">
        <v>0</v>
      </c>
      <c r="M94" s="11" t="s">
        <v>309</v>
      </c>
      <c r="N94" t="b">
        <v>1</v>
      </c>
      <c r="O94">
        <v>0</v>
      </c>
      <c r="P94">
        <v>50.4</v>
      </c>
    </row>
    <row r="95" spans="1:16" x14ac:dyDescent="0.25">
      <c r="A95" s="1">
        <v>93</v>
      </c>
      <c r="B95" t="s">
        <v>321</v>
      </c>
      <c r="C95">
        <v>29</v>
      </c>
      <c r="D95" s="18">
        <f>0.35*gen!P95</f>
        <v>110.6</v>
      </c>
      <c r="E95">
        <v>1</v>
      </c>
      <c r="G95">
        <f t="shared" si="7"/>
        <v>-104.28</v>
      </c>
      <c r="H95">
        <f>0.33*gen!P95</f>
        <v>104.28</v>
      </c>
      <c r="I95">
        <v>1</v>
      </c>
      <c r="J95" t="b">
        <v>0</v>
      </c>
      <c r="K95" t="b">
        <v>1</v>
      </c>
      <c r="L95">
        <v>0</v>
      </c>
      <c r="M95" s="11" t="s">
        <v>309</v>
      </c>
      <c r="N95" t="b">
        <v>1</v>
      </c>
      <c r="O95">
        <v>0</v>
      </c>
      <c r="P95">
        <v>316</v>
      </c>
    </row>
    <row r="96" spans="1:16" x14ac:dyDescent="0.25">
      <c r="A96" s="1">
        <v>94</v>
      </c>
      <c r="B96" t="s">
        <v>322</v>
      </c>
      <c r="C96">
        <v>4</v>
      </c>
      <c r="D96" s="18">
        <f>0.35*gen!P96</f>
        <v>29.4</v>
      </c>
      <c r="E96">
        <v>1</v>
      </c>
      <c r="G96">
        <f t="shared" si="7"/>
        <v>-27.720000000000002</v>
      </c>
      <c r="H96">
        <f>0.33*gen!P96</f>
        <v>27.720000000000002</v>
      </c>
      <c r="I96">
        <v>1</v>
      </c>
      <c r="J96" t="b">
        <v>0</v>
      </c>
      <c r="K96" t="b">
        <v>1</v>
      </c>
      <c r="L96">
        <v>0</v>
      </c>
      <c r="M96" s="11" t="s">
        <v>309</v>
      </c>
      <c r="N96" t="b">
        <v>1</v>
      </c>
      <c r="O96">
        <v>0</v>
      </c>
      <c r="P96">
        <v>84</v>
      </c>
    </row>
    <row r="97" spans="1:16" x14ac:dyDescent="0.25">
      <c r="A97" s="1">
        <v>95</v>
      </c>
      <c r="B97" t="s">
        <v>323</v>
      </c>
      <c r="C97">
        <v>4</v>
      </c>
      <c r="D97" s="18">
        <f>0.35*gen!P97</f>
        <v>22.049999999999997</v>
      </c>
      <c r="E97">
        <v>1</v>
      </c>
      <c r="G97">
        <f t="shared" si="7"/>
        <v>-20.790000000000003</v>
      </c>
      <c r="H97">
        <f>0.33*gen!P97</f>
        <v>20.790000000000003</v>
      </c>
      <c r="I97">
        <v>1</v>
      </c>
      <c r="J97" t="b">
        <v>0</v>
      </c>
      <c r="K97" t="b">
        <v>1</v>
      </c>
      <c r="L97">
        <v>0</v>
      </c>
      <c r="M97" s="11" t="s">
        <v>309</v>
      </c>
      <c r="N97" t="b">
        <v>1</v>
      </c>
      <c r="O97">
        <v>0</v>
      </c>
      <c r="P97">
        <v>63</v>
      </c>
    </row>
    <row r="98" spans="1:16" x14ac:dyDescent="0.25">
      <c r="A98" s="1">
        <v>96</v>
      </c>
      <c r="B98" t="s">
        <v>324</v>
      </c>
      <c r="C98">
        <v>29</v>
      </c>
      <c r="D98" s="18">
        <f>0.35*gen!P98</f>
        <v>273.7</v>
      </c>
      <c r="E98">
        <v>1</v>
      </c>
      <c r="G98">
        <f t="shared" si="7"/>
        <v>-258.06</v>
      </c>
      <c r="H98">
        <f>0.33*gen!P98</f>
        <v>258.06</v>
      </c>
      <c r="I98">
        <v>1</v>
      </c>
      <c r="J98" t="b">
        <v>0</v>
      </c>
      <c r="K98" t="b">
        <v>1</v>
      </c>
      <c r="L98">
        <v>0</v>
      </c>
      <c r="M98" s="11" t="s">
        <v>309</v>
      </c>
      <c r="N98" t="b">
        <v>1</v>
      </c>
      <c r="O98">
        <v>0</v>
      </c>
      <c r="P98" s="13">
        <v>782</v>
      </c>
    </row>
    <row r="99" spans="1:16" x14ac:dyDescent="0.25">
      <c r="A99" s="1">
        <v>97</v>
      </c>
      <c r="B99" t="s">
        <v>325</v>
      </c>
      <c r="C99">
        <v>32</v>
      </c>
      <c r="D99" s="18">
        <f>0.35*gen!P99</f>
        <v>288.04999999999995</v>
      </c>
      <c r="E99">
        <v>1</v>
      </c>
      <c r="G99">
        <f t="shared" si="7"/>
        <v>-271.59000000000003</v>
      </c>
      <c r="H99">
        <f>0.33*gen!P99</f>
        <v>271.59000000000003</v>
      </c>
      <c r="I99">
        <v>1</v>
      </c>
      <c r="J99" t="b">
        <v>0</v>
      </c>
      <c r="K99" t="b">
        <v>1</v>
      </c>
      <c r="L99">
        <v>0</v>
      </c>
      <c r="M99" s="11" t="s">
        <v>309</v>
      </c>
      <c r="N99" t="b">
        <v>1</v>
      </c>
      <c r="O99">
        <v>0</v>
      </c>
      <c r="P99" s="13">
        <v>823</v>
      </c>
    </row>
    <row r="100" spans="1:16" x14ac:dyDescent="0.25">
      <c r="A100" s="1">
        <v>98</v>
      </c>
      <c r="B100" t="s">
        <v>326</v>
      </c>
      <c r="C100">
        <v>11</v>
      </c>
      <c r="D100" s="18">
        <f>0.35*gen!P100</f>
        <v>234.14999999999998</v>
      </c>
      <c r="E100">
        <v>1</v>
      </c>
      <c r="G100">
        <f t="shared" si="7"/>
        <v>-220.77</v>
      </c>
      <c r="H100">
        <f>0.33*gen!P100</f>
        <v>220.77</v>
      </c>
      <c r="I100">
        <v>1</v>
      </c>
      <c r="J100" t="b">
        <v>0</v>
      </c>
      <c r="K100" t="b">
        <v>1</v>
      </c>
      <c r="L100">
        <v>0</v>
      </c>
      <c r="M100" s="11" t="s">
        <v>309</v>
      </c>
      <c r="N100" t="b">
        <v>1</v>
      </c>
      <c r="O100">
        <v>0</v>
      </c>
      <c r="P100" s="13">
        <v>669</v>
      </c>
    </row>
    <row r="101" spans="1:16" x14ac:dyDescent="0.25">
      <c r="A101" s="1">
        <v>99</v>
      </c>
      <c r="B101" t="s">
        <v>327</v>
      </c>
      <c r="C101">
        <v>25</v>
      </c>
      <c r="D101" s="18">
        <f>0.35*gen!P101</f>
        <v>829.5</v>
      </c>
      <c r="E101">
        <v>1</v>
      </c>
      <c r="G101">
        <f t="shared" si="7"/>
        <v>-782.1</v>
      </c>
      <c r="H101">
        <f>0.33*gen!P101</f>
        <v>782.1</v>
      </c>
      <c r="I101">
        <v>1</v>
      </c>
      <c r="J101" t="b">
        <v>0</v>
      </c>
      <c r="K101" t="b">
        <v>1</v>
      </c>
      <c r="L101">
        <v>0</v>
      </c>
      <c r="M101" s="11" t="s">
        <v>309</v>
      </c>
      <c r="N101" t="b">
        <v>1</v>
      </c>
      <c r="O101">
        <v>0</v>
      </c>
      <c r="P101" s="13">
        <v>2370</v>
      </c>
    </row>
    <row r="102" spans="1:16" x14ac:dyDescent="0.25">
      <c r="A102" s="1">
        <v>100</v>
      </c>
      <c r="B102" t="s">
        <v>328</v>
      </c>
      <c r="C102">
        <v>17</v>
      </c>
      <c r="D102" s="18">
        <f>0.35*gen!P102</f>
        <v>94.85</v>
      </c>
      <c r="E102">
        <v>1</v>
      </c>
      <c r="G102">
        <f t="shared" si="7"/>
        <v>-89.43</v>
      </c>
      <c r="H102">
        <f>0.33*gen!P102</f>
        <v>89.43</v>
      </c>
      <c r="I102">
        <v>1</v>
      </c>
      <c r="J102" t="b">
        <v>0</v>
      </c>
      <c r="K102" t="b">
        <v>1</v>
      </c>
      <c r="L102">
        <v>0</v>
      </c>
      <c r="M102" s="11" t="s">
        <v>309</v>
      </c>
      <c r="N102" t="b">
        <v>1</v>
      </c>
      <c r="O102">
        <v>0</v>
      </c>
      <c r="P102" s="13">
        <v>271</v>
      </c>
    </row>
    <row r="103" spans="1:16" x14ac:dyDescent="0.25">
      <c r="A103" s="1">
        <v>101</v>
      </c>
      <c r="B103" t="s">
        <v>329</v>
      </c>
      <c r="C103">
        <v>6</v>
      </c>
      <c r="D103" s="18">
        <f>0.35*gen!P103</f>
        <v>351.75</v>
      </c>
      <c r="E103">
        <v>1</v>
      </c>
      <c r="G103">
        <f t="shared" si="7"/>
        <v>-331.65000000000003</v>
      </c>
      <c r="H103">
        <f>0.33*gen!P103</f>
        <v>331.65000000000003</v>
      </c>
      <c r="I103">
        <v>1</v>
      </c>
      <c r="J103" t="b">
        <v>0</v>
      </c>
      <c r="K103" t="b">
        <v>1</v>
      </c>
      <c r="L103">
        <v>0</v>
      </c>
      <c r="M103" s="11" t="s">
        <v>309</v>
      </c>
      <c r="N103" t="b">
        <v>1</v>
      </c>
      <c r="O103">
        <v>0</v>
      </c>
      <c r="P103" s="13">
        <v>1005</v>
      </c>
    </row>
    <row r="104" spans="1:16" x14ac:dyDescent="0.25">
      <c r="A104" s="1">
        <v>102</v>
      </c>
      <c r="B104" t="s">
        <v>330</v>
      </c>
      <c r="C104">
        <v>3</v>
      </c>
      <c r="D104" s="18">
        <f>0.35*gen!P104</f>
        <v>236.95</v>
      </c>
      <c r="E104">
        <v>1</v>
      </c>
      <c r="G104">
        <f t="shared" si="7"/>
        <v>-223.41</v>
      </c>
      <c r="H104">
        <f>0.33*gen!P104</f>
        <v>223.41</v>
      </c>
      <c r="I104">
        <v>1</v>
      </c>
      <c r="J104" t="b">
        <v>0</v>
      </c>
      <c r="K104" t="b">
        <v>1</v>
      </c>
      <c r="L104">
        <v>0</v>
      </c>
      <c r="M104" s="11" t="s">
        <v>309</v>
      </c>
      <c r="N104" t="b">
        <v>1</v>
      </c>
      <c r="O104">
        <v>0</v>
      </c>
      <c r="P104" s="13">
        <v>677</v>
      </c>
    </row>
    <row r="105" spans="1:16" x14ac:dyDescent="0.25">
      <c r="A105" s="1">
        <v>103</v>
      </c>
      <c r="B105" t="s">
        <v>331</v>
      </c>
      <c r="C105">
        <v>9</v>
      </c>
      <c r="D105" s="18">
        <f>0.35*gen!P105</f>
        <v>103.94999999999999</v>
      </c>
      <c r="E105">
        <v>1</v>
      </c>
      <c r="G105">
        <f t="shared" si="7"/>
        <v>-98.01</v>
      </c>
      <c r="H105">
        <f>0.33*gen!P105</f>
        <v>98.01</v>
      </c>
      <c r="I105">
        <v>1</v>
      </c>
      <c r="J105" t="b">
        <v>0</v>
      </c>
      <c r="K105" t="b">
        <v>1</v>
      </c>
      <c r="L105">
        <v>0</v>
      </c>
      <c r="M105" s="11" t="s">
        <v>309</v>
      </c>
      <c r="N105" t="b">
        <v>1</v>
      </c>
      <c r="O105">
        <v>0</v>
      </c>
      <c r="P105" s="13">
        <v>297</v>
      </c>
    </row>
    <row r="106" spans="1:16" x14ac:dyDescent="0.25">
      <c r="A106" s="1">
        <v>104</v>
      </c>
      <c r="B106" t="s">
        <v>332</v>
      </c>
      <c r="C106">
        <v>34</v>
      </c>
      <c r="D106" s="18">
        <f>0.35*gen!P106</f>
        <v>33.25</v>
      </c>
      <c r="E106">
        <v>1</v>
      </c>
      <c r="G106">
        <f t="shared" si="7"/>
        <v>-31.35</v>
      </c>
      <c r="H106">
        <f>0.33*gen!P106</f>
        <v>31.35</v>
      </c>
      <c r="I106">
        <v>1</v>
      </c>
      <c r="J106" t="b">
        <v>0</v>
      </c>
      <c r="K106" t="b">
        <v>1</v>
      </c>
      <c r="L106">
        <v>0</v>
      </c>
      <c r="M106" s="11" t="s">
        <v>309</v>
      </c>
      <c r="N106" t="b">
        <v>1</v>
      </c>
      <c r="O106">
        <v>0</v>
      </c>
      <c r="P106" s="13">
        <v>95</v>
      </c>
    </row>
    <row r="107" spans="1:16" x14ac:dyDescent="0.25">
      <c r="A107" s="1">
        <v>105</v>
      </c>
      <c r="B107" t="s">
        <v>333</v>
      </c>
      <c r="C107">
        <v>26</v>
      </c>
      <c r="D107" s="18">
        <f>0.35*gen!P107</f>
        <v>47.949999999999996</v>
      </c>
      <c r="E107">
        <v>1</v>
      </c>
      <c r="G107">
        <f t="shared" si="7"/>
        <v>-45.21</v>
      </c>
      <c r="H107">
        <f>0.33*gen!P107</f>
        <v>45.21</v>
      </c>
      <c r="I107">
        <v>1</v>
      </c>
      <c r="J107" t="b">
        <v>0</v>
      </c>
      <c r="K107" t="b">
        <v>1</v>
      </c>
      <c r="L107">
        <v>0</v>
      </c>
      <c r="M107" s="11" t="s">
        <v>309</v>
      </c>
      <c r="N107" t="b">
        <v>1</v>
      </c>
      <c r="O107">
        <v>0</v>
      </c>
      <c r="P107" s="13">
        <v>137</v>
      </c>
    </row>
    <row r="108" spans="1:16" x14ac:dyDescent="0.25">
      <c r="A108" s="1">
        <v>106</v>
      </c>
      <c r="B108" t="s">
        <v>334</v>
      </c>
      <c r="C108">
        <v>22</v>
      </c>
      <c r="D108" s="18">
        <f>0.35*gen!P108</f>
        <v>162.75</v>
      </c>
      <c r="E108">
        <v>1</v>
      </c>
      <c r="G108">
        <f t="shared" si="7"/>
        <v>-153.45000000000002</v>
      </c>
      <c r="H108">
        <f>0.33*gen!P108</f>
        <v>153.45000000000002</v>
      </c>
      <c r="I108">
        <v>1</v>
      </c>
      <c r="J108" t="b">
        <v>0</v>
      </c>
      <c r="K108" t="b">
        <v>1</v>
      </c>
      <c r="L108">
        <v>0</v>
      </c>
      <c r="M108" s="11" t="s">
        <v>309</v>
      </c>
      <c r="N108" t="b">
        <v>1</v>
      </c>
      <c r="O108">
        <v>0</v>
      </c>
      <c r="P108" s="13">
        <v>465</v>
      </c>
    </row>
    <row r="109" spans="1:16" x14ac:dyDescent="0.25">
      <c r="A109" s="1">
        <v>107</v>
      </c>
      <c r="B109" t="s">
        <v>335</v>
      </c>
      <c r="C109">
        <v>10</v>
      </c>
      <c r="D109" s="18">
        <f>0.35*gen!P109</f>
        <v>12.95</v>
      </c>
      <c r="E109">
        <v>1</v>
      </c>
      <c r="G109">
        <f t="shared" si="7"/>
        <v>-12.21</v>
      </c>
      <c r="H109">
        <f>0.33*gen!P109</f>
        <v>12.21</v>
      </c>
      <c r="I109">
        <v>1</v>
      </c>
      <c r="J109" t="b">
        <v>0</v>
      </c>
      <c r="K109" t="b">
        <v>1</v>
      </c>
      <c r="L109">
        <v>0</v>
      </c>
      <c r="M109" s="11" t="s">
        <v>309</v>
      </c>
      <c r="N109" t="b">
        <v>1</v>
      </c>
      <c r="O109">
        <v>0</v>
      </c>
      <c r="P109" s="13">
        <v>37</v>
      </c>
    </row>
    <row r="110" spans="1:16" x14ac:dyDescent="0.25">
      <c r="A110" s="1">
        <v>108</v>
      </c>
      <c r="B110" t="s">
        <v>336</v>
      </c>
      <c r="C110">
        <v>4</v>
      </c>
      <c r="D110" s="5">
        <f>0.1*gen!P110</f>
        <v>11</v>
      </c>
      <c r="E110">
        <v>1</v>
      </c>
      <c r="G110">
        <f t="shared" si="7"/>
        <v>-36.300000000000004</v>
      </c>
      <c r="H110">
        <f>0.33*gen!P110</f>
        <v>36.300000000000004</v>
      </c>
      <c r="I110">
        <v>1</v>
      </c>
      <c r="J110" t="b">
        <v>0</v>
      </c>
      <c r="K110" t="b">
        <v>1</v>
      </c>
      <c r="L110">
        <v>0</v>
      </c>
      <c r="M110" s="12" t="s">
        <v>337</v>
      </c>
      <c r="N110" t="b">
        <v>1</v>
      </c>
      <c r="O110">
        <v>0</v>
      </c>
      <c r="P110">
        <v>110</v>
      </c>
    </row>
    <row r="111" spans="1:16" x14ac:dyDescent="0.25">
      <c r="A111" s="1">
        <v>109</v>
      </c>
      <c r="B111" t="s">
        <v>338</v>
      </c>
      <c r="C111">
        <v>4</v>
      </c>
      <c r="D111" s="5">
        <f>0.1*gen!P111</f>
        <v>10.200000000000001</v>
      </c>
      <c r="E111">
        <v>1</v>
      </c>
      <c r="G111">
        <f t="shared" si="7"/>
        <v>-33.660000000000004</v>
      </c>
      <c r="H111">
        <f>0.33*gen!P111</f>
        <v>33.660000000000004</v>
      </c>
      <c r="I111">
        <v>1</v>
      </c>
      <c r="J111" t="b">
        <v>0</v>
      </c>
      <c r="K111" t="b">
        <v>1</v>
      </c>
      <c r="L111">
        <v>0</v>
      </c>
      <c r="M111" s="12" t="s">
        <v>337</v>
      </c>
      <c r="N111" t="b">
        <v>1</v>
      </c>
      <c r="O111">
        <v>0</v>
      </c>
      <c r="P111">
        <v>102</v>
      </c>
    </row>
    <row r="112" spans="1:16" x14ac:dyDescent="0.25">
      <c r="A112" s="1">
        <v>110</v>
      </c>
      <c r="B112" t="s">
        <v>339</v>
      </c>
      <c r="C112">
        <v>4</v>
      </c>
      <c r="D112" s="5">
        <f>0.1*gen!P112</f>
        <v>6.4</v>
      </c>
      <c r="E112">
        <v>1</v>
      </c>
      <c r="G112">
        <f t="shared" si="7"/>
        <v>-21.12</v>
      </c>
      <c r="H112">
        <f>0.33*gen!P112</f>
        <v>21.12</v>
      </c>
      <c r="I112">
        <v>1</v>
      </c>
      <c r="J112" t="b">
        <v>0</v>
      </c>
      <c r="K112" t="b">
        <v>1</v>
      </c>
      <c r="L112">
        <v>0</v>
      </c>
      <c r="M112" s="12" t="s">
        <v>337</v>
      </c>
      <c r="N112" t="b">
        <v>1</v>
      </c>
      <c r="O112">
        <v>0</v>
      </c>
      <c r="P112">
        <v>64</v>
      </c>
    </row>
    <row r="113" spans="1:16" x14ac:dyDescent="0.25">
      <c r="A113" s="1">
        <v>111</v>
      </c>
      <c r="B113" t="s">
        <v>340</v>
      </c>
      <c r="C113">
        <v>11</v>
      </c>
      <c r="D113" s="5">
        <f>0.1*gen!P113</f>
        <v>5.45</v>
      </c>
      <c r="E113">
        <v>1</v>
      </c>
      <c r="G113">
        <f t="shared" si="7"/>
        <v>-17.984999999999999</v>
      </c>
      <c r="H113">
        <f>0.33*gen!P113</f>
        <v>17.984999999999999</v>
      </c>
      <c r="I113">
        <v>1</v>
      </c>
      <c r="J113" t="b">
        <v>0</v>
      </c>
      <c r="K113" t="b">
        <v>1</v>
      </c>
      <c r="L113">
        <v>0</v>
      </c>
      <c r="M113" s="12" t="s">
        <v>337</v>
      </c>
      <c r="N113" t="b">
        <v>1</v>
      </c>
      <c r="O113">
        <v>0</v>
      </c>
      <c r="P113">
        <v>54.5</v>
      </c>
    </row>
    <row r="114" spans="1:16" x14ac:dyDescent="0.25">
      <c r="A114" s="1">
        <v>112</v>
      </c>
      <c r="B114" t="s">
        <v>341</v>
      </c>
      <c r="C114">
        <v>29</v>
      </c>
      <c r="D114" s="5">
        <f>0.1*gen!P114</f>
        <v>722</v>
      </c>
      <c r="E114">
        <v>1</v>
      </c>
      <c r="G114">
        <f t="shared" si="7"/>
        <v>-2382.6</v>
      </c>
      <c r="H114">
        <f>0.33*gen!P114</f>
        <v>2382.6</v>
      </c>
      <c r="I114">
        <v>1</v>
      </c>
      <c r="J114" t="b">
        <v>0</v>
      </c>
      <c r="K114" t="b">
        <v>1</v>
      </c>
      <c r="L114">
        <v>0</v>
      </c>
      <c r="M114" s="12" t="s">
        <v>337</v>
      </c>
      <c r="N114" t="b">
        <v>1</v>
      </c>
      <c r="O114">
        <v>0</v>
      </c>
      <c r="P114" s="10">
        <v>7220</v>
      </c>
    </row>
    <row r="115" spans="1:16" x14ac:dyDescent="0.25">
      <c r="A115" s="1">
        <v>113</v>
      </c>
      <c r="B115" t="s">
        <v>342</v>
      </c>
      <c r="C115">
        <v>32</v>
      </c>
      <c r="D115" s="5">
        <f>0.1*gen!P115</f>
        <v>928.90000000000009</v>
      </c>
      <c r="E115">
        <v>1</v>
      </c>
      <c r="G115">
        <f t="shared" ref="G115:G146" si="8">-H115</f>
        <v>-3065.3700000000003</v>
      </c>
      <c r="H115">
        <f>0.33*gen!P115</f>
        <v>3065.3700000000003</v>
      </c>
      <c r="I115">
        <v>1</v>
      </c>
      <c r="J115" t="b">
        <v>0</v>
      </c>
      <c r="K115" t="b">
        <v>1</v>
      </c>
      <c r="L115">
        <v>0</v>
      </c>
      <c r="M115" s="12" t="s">
        <v>337</v>
      </c>
      <c r="N115" t="b">
        <v>1</v>
      </c>
      <c r="O115">
        <v>0</v>
      </c>
      <c r="P115" s="10">
        <v>9289</v>
      </c>
    </row>
    <row r="116" spans="1:16" x14ac:dyDescent="0.25">
      <c r="A116" s="1">
        <v>114</v>
      </c>
      <c r="B116" t="s">
        <v>343</v>
      </c>
      <c r="C116">
        <v>11</v>
      </c>
      <c r="D116" s="5">
        <f>0.1*gen!P116</f>
        <v>306.60000000000002</v>
      </c>
      <c r="E116">
        <v>1</v>
      </c>
      <c r="G116">
        <f t="shared" si="8"/>
        <v>-1011.7800000000001</v>
      </c>
      <c r="H116">
        <f>0.33*gen!P116</f>
        <v>1011.7800000000001</v>
      </c>
      <c r="I116">
        <v>1</v>
      </c>
      <c r="J116" t="b">
        <v>0</v>
      </c>
      <c r="K116" t="b">
        <v>1</v>
      </c>
      <c r="L116">
        <v>0</v>
      </c>
      <c r="M116" s="12" t="s">
        <v>337</v>
      </c>
      <c r="N116" t="b">
        <v>1</v>
      </c>
      <c r="O116">
        <v>0</v>
      </c>
      <c r="P116" s="10">
        <v>3066</v>
      </c>
    </row>
    <row r="117" spans="1:16" x14ac:dyDescent="0.25">
      <c r="A117" s="1">
        <v>115</v>
      </c>
      <c r="B117" t="s">
        <v>344</v>
      </c>
      <c r="C117">
        <v>25</v>
      </c>
      <c r="D117" s="5">
        <f>0.1*gen!P117</f>
        <v>353.20000000000005</v>
      </c>
      <c r="E117">
        <v>1</v>
      </c>
      <c r="G117">
        <f t="shared" si="8"/>
        <v>-1165.56</v>
      </c>
      <c r="H117">
        <f>0.33*gen!P117</f>
        <v>1165.56</v>
      </c>
      <c r="I117">
        <v>1</v>
      </c>
      <c r="J117" t="b">
        <v>0</v>
      </c>
      <c r="K117" t="b">
        <v>1</v>
      </c>
      <c r="L117">
        <v>0</v>
      </c>
      <c r="M117" s="12" t="s">
        <v>337</v>
      </c>
      <c r="N117" t="b">
        <v>1</v>
      </c>
      <c r="O117">
        <v>0</v>
      </c>
      <c r="P117" s="10">
        <v>3532</v>
      </c>
    </row>
    <row r="118" spans="1:16" x14ac:dyDescent="0.25">
      <c r="A118" s="1">
        <v>116</v>
      </c>
      <c r="B118" t="s">
        <v>345</v>
      </c>
      <c r="C118">
        <v>17</v>
      </c>
      <c r="D118" s="5">
        <f>0.1*gen!P118</f>
        <v>1054.8</v>
      </c>
      <c r="E118">
        <v>1</v>
      </c>
      <c r="G118">
        <f t="shared" si="8"/>
        <v>-3480.84</v>
      </c>
      <c r="H118">
        <f>0.33*gen!P118</f>
        <v>3480.84</v>
      </c>
      <c r="I118">
        <v>1</v>
      </c>
      <c r="J118" t="b">
        <v>0</v>
      </c>
      <c r="K118" t="b">
        <v>1</v>
      </c>
      <c r="L118">
        <v>0</v>
      </c>
      <c r="M118" s="12" t="s">
        <v>337</v>
      </c>
      <c r="N118" t="b">
        <v>1</v>
      </c>
      <c r="O118">
        <v>0</v>
      </c>
      <c r="P118" s="10">
        <v>10548</v>
      </c>
    </row>
    <row r="119" spans="1:16" x14ac:dyDescent="0.25">
      <c r="A119" s="1">
        <v>117</v>
      </c>
      <c r="B119" t="s">
        <v>346</v>
      </c>
      <c r="C119">
        <v>6</v>
      </c>
      <c r="D119" s="5">
        <f>0.1*gen!P119</f>
        <v>514.30000000000007</v>
      </c>
      <c r="E119">
        <v>1</v>
      </c>
      <c r="G119">
        <f t="shared" si="8"/>
        <v>-1697.19</v>
      </c>
      <c r="H119">
        <f>0.33*gen!P119</f>
        <v>1697.19</v>
      </c>
      <c r="I119">
        <v>1</v>
      </c>
      <c r="J119" t="b">
        <v>0</v>
      </c>
      <c r="K119" t="b">
        <v>1</v>
      </c>
      <c r="L119">
        <v>0</v>
      </c>
      <c r="M119" s="12" t="s">
        <v>337</v>
      </c>
      <c r="N119" t="b">
        <v>1</v>
      </c>
      <c r="O119">
        <v>0</v>
      </c>
      <c r="P119" s="10">
        <v>5143</v>
      </c>
    </row>
    <row r="120" spans="1:16" x14ac:dyDescent="0.25">
      <c r="A120" s="1">
        <v>118</v>
      </c>
      <c r="B120" t="s">
        <v>347</v>
      </c>
      <c r="C120">
        <v>3</v>
      </c>
      <c r="D120" s="5">
        <f>0.1*gen!P120</f>
        <v>391.90000000000003</v>
      </c>
      <c r="E120">
        <v>1</v>
      </c>
      <c r="G120">
        <f t="shared" si="8"/>
        <v>-1293.27</v>
      </c>
      <c r="H120">
        <f>0.33*gen!P120</f>
        <v>1293.27</v>
      </c>
      <c r="I120">
        <v>1</v>
      </c>
      <c r="J120" t="b">
        <v>0</v>
      </c>
      <c r="K120" t="b">
        <v>1</v>
      </c>
      <c r="L120">
        <v>0</v>
      </c>
      <c r="M120" s="12" t="s">
        <v>337</v>
      </c>
      <c r="N120" t="b">
        <v>1</v>
      </c>
      <c r="O120">
        <v>0</v>
      </c>
      <c r="P120" s="10">
        <v>3919</v>
      </c>
    </row>
    <row r="121" spans="1:16" x14ac:dyDescent="0.25">
      <c r="A121" s="1">
        <v>119</v>
      </c>
      <c r="B121" t="s">
        <v>348</v>
      </c>
      <c r="C121">
        <v>9</v>
      </c>
      <c r="D121" s="5">
        <f>0.1*gen!P121</f>
        <v>508.90000000000003</v>
      </c>
      <c r="E121">
        <v>1</v>
      </c>
      <c r="G121">
        <f t="shared" si="8"/>
        <v>-1679.3700000000001</v>
      </c>
      <c r="H121">
        <f>0.33*gen!P121</f>
        <v>1679.3700000000001</v>
      </c>
      <c r="I121">
        <v>1</v>
      </c>
      <c r="J121" t="b">
        <v>0</v>
      </c>
      <c r="K121" t="b">
        <v>1</v>
      </c>
      <c r="L121">
        <v>0</v>
      </c>
      <c r="M121" s="12" t="s">
        <v>337</v>
      </c>
      <c r="N121" t="b">
        <v>1</v>
      </c>
      <c r="O121">
        <v>0</v>
      </c>
      <c r="P121" s="10">
        <v>5089</v>
      </c>
    </row>
    <row r="122" spans="1:16" x14ac:dyDescent="0.25">
      <c r="A122" s="1">
        <v>120</v>
      </c>
      <c r="B122" t="s">
        <v>349</v>
      </c>
      <c r="C122">
        <v>34</v>
      </c>
      <c r="D122" s="5">
        <f>0.1*gen!P122</f>
        <v>630.1</v>
      </c>
      <c r="E122">
        <v>1</v>
      </c>
      <c r="G122">
        <f t="shared" si="8"/>
        <v>-2079.33</v>
      </c>
      <c r="H122">
        <f>0.33*gen!P122</f>
        <v>2079.33</v>
      </c>
      <c r="I122">
        <v>1</v>
      </c>
      <c r="J122" t="b">
        <v>0</v>
      </c>
      <c r="K122" t="b">
        <v>1</v>
      </c>
      <c r="L122">
        <v>0</v>
      </c>
      <c r="M122" s="12" t="s">
        <v>337</v>
      </c>
      <c r="N122" t="b">
        <v>1</v>
      </c>
      <c r="O122">
        <v>0</v>
      </c>
      <c r="P122" s="10">
        <v>6301</v>
      </c>
    </row>
    <row r="123" spans="1:16" x14ac:dyDescent="0.25">
      <c r="A123" s="1">
        <v>121</v>
      </c>
      <c r="B123" t="s">
        <v>350</v>
      </c>
      <c r="C123">
        <v>26</v>
      </c>
      <c r="D123" s="5">
        <f>0.1*gen!P123</f>
        <v>593.9</v>
      </c>
      <c r="E123">
        <v>1</v>
      </c>
      <c r="G123">
        <f t="shared" si="8"/>
        <v>-1959.8700000000001</v>
      </c>
      <c r="H123">
        <f>0.33*gen!P123</f>
        <v>1959.8700000000001</v>
      </c>
      <c r="I123">
        <v>1</v>
      </c>
      <c r="J123" t="b">
        <v>0</v>
      </c>
      <c r="K123" t="b">
        <v>1</v>
      </c>
      <c r="L123">
        <v>0</v>
      </c>
      <c r="M123" s="12" t="s">
        <v>337</v>
      </c>
      <c r="N123" t="b">
        <v>1</v>
      </c>
      <c r="O123">
        <v>0</v>
      </c>
      <c r="P123" s="10">
        <v>5939</v>
      </c>
    </row>
    <row r="124" spans="1:16" x14ac:dyDescent="0.25">
      <c r="A124" s="1">
        <v>122</v>
      </c>
      <c r="B124" t="s">
        <v>351</v>
      </c>
      <c r="C124">
        <v>22</v>
      </c>
      <c r="D124" s="5">
        <f>0.1*gen!P124</f>
        <v>1303.9000000000001</v>
      </c>
      <c r="E124">
        <v>1</v>
      </c>
      <c r="G124">
        <f t="shared" si="8"/>
        <v>-4302.87</v>
      </c>
      <c r="H124">
        <f>0.33*gen!P124</f>
        <v>4302.87</v>
      </c>
      <c r="I124">
        <v>1</v>
      </c>
      <c r="J124" t="b">
        <v>0</v>
      </c>
      <c r="K124" t="b">
        <v>1</v>
      </c>
      <c r="L124">
        <v>0</v>
      </c>
      <c r="M124" s="12" t="s">
        <v>337</v>
      </c>
      <c r="N124" t="b">
        <v>1</v>
      </c>
      <c r="O124">
        <v>0</v>
      </c>
      <c r="P124" s="10">
        <v>13039</v>
      </c>
    </row>
    <row r="125" spans="1:16" x14ac:dyDescent="0.25">
      <c r="A125" s="1">
        <v>123</v>
      </c>
      <c r="B125" t="s">
        <v>352</v>
      </c>
      <c r="C125">
        <v>10</v>
      </c>
      <c r="D125" s="5">
        <f>0.1*gen!P125</f>
        <v>426</v>
      </c>
      <c r="E125">
        <v>1</v>
      </c>
      <c r="G125">
        <f t="shared" si="8"/>
        <v>-1405.8</v>
      </c>
      <c r="H125">
        <f>0.33*gen!P125</f>
        <v>1405.8</v>
      </c>
      <c r="I125">
        <v>1</v>
      </c>
      <c r="J125" t="b">
        <v>0</v>
      </c>
      <c r="K125" t="b">
        <v>1</v>
      </c>
      <c r="L125">
        <v>0</v>
      </c>
      <c r="M125" s="12" t="s">
        <v>337</v>
      </c>
      <c r="N125" t="b">
        <v>1</v>
      </c>
      <c r="O125">
        <v>0</v>
      </c>
      <c r="P125" s="10">
        <v>4260</v>
      </c>
    </row>
    <row r="126" spans="1:16" x14ac:dyDescent="0.25">
      <c r="A126" s="4">
        <v>124</v>
      </c>
      <c r="B126" s="11" t="s">
        <v>415</v>
      </c>
      <c r="C126" s="10">
        <v>28</v>
      </c>
      <c r="D126" s="18">
        <f>0.35*gen!P126</f>
        <v>266</v>
      </c>
      <c r="E126">
        <v>1</v>
      </c>
      <c r="G126">
        <f t="shared" si="8"/>
        <v>-250.8</v>
      </c>
      <c r="H126">
        <f>0.33*gen!P126</f>
        <v>250.8</v>
      </c>
      <c r="I126">
        <v>1</v>
      </c>
      <c r="J126" t="b">
        <v>0</v>
      </c>
      <c r="K126" t="b">
        <v>1</v>
      </c>
      <c r="L126">
        <v>0</v>
      </c>
      <c r="M126" s="11" t="s">
        <v>309</v>
      </c>
      <c r="N126" t="b">
        <v>1</v>
      </c>
      <c r="O126">
        <v>0</v>
      </c>
      <c r="P126">
        <v>760</v>
      </c>
    </row>
    <row r="127" spans="1:16" x14ac:dyDescent="0.25">
      <c r="A127" s="4">
        <v>125</v>
      </c>
      <c r="B127" s="11" t="s">
        <v>416</v>
      </c>
      <c r="C127" s="10">
        <v>28</v>
      </c>
      <c r="D127" s="18">
        <f>0.35*gen!P127</f>
        <v>266</v>
      </c>
      <c r="E127">
        <v>1</v>
      </c>
      <c r="G127">
        <f t="shared" si="8"/>
        <v>-250.8</v>
      </c>
      <c r="H127">
        <f>0.33*gen!P127</f>
        <v>250.8</v>
      </c>
      <c r="I127">
        <v>1</v>
      </c>
      <c r="J127" t="b">
        <v>0</v>
      </c>
      <c r="K127" t="b">
        <v>1</v>
      </c>
      <c r="L127">
        <v>0</v>
      </c>
      <c r="M127" s="11" t="s">
        <v>309</v>
      </c>
      <c r="N127" t="b">
        <v>1</v>
      </c>
      <c r="O127">
        <v>0</v>
      </c>
      <c r="P127">
        <v>760</v>
      </c>
    </row>
    <row r="128" spans="1:16" x14ac:dyDescent="0.25">
      <c r="A128" s="4">
        <v>126</v>
      </c>
      <c r="B128" s="11" t="s">
        <v>417</v>
      </c>
      <c r="C128" s="10">
        <v>12</v>
      </c>
      <c r="D128" s="18">
        <f>0.35*gen!P128</f>
        <v>265.64999999999998</v>
      </c>
      <c r="E128">
        <v>1</v>
      </c>
      <c r="G128">
        <f t="shared" si="8"/>
        <v>-250.47</v>
      </c>
      <c r="H128">
        <f>0.33*gen!P128</f>
        <v>250.47</v>
      </c>
      <c r="I128">
        <v>1</v>
      </c>
      <c r="J128" t="b">
        <v>0</v>
      </c>
      <c r="K128" t="b">
        <v>1</v>
      </c>
      <c r="L128">
        <v>0</v>
      </c>
      <c r="M128" s="11" t="s">
        <v>309</v>
      </c>
      <c r="N128" t="b">
        <v>1</v>
      </c>
      <c r="O128">
        <v>0</v>
      </c>
      <c r="P128">
        <v>759</v>
      </c>
    </row>
    <row r="129" spans="1:16" x14ac:dyDescent="0.25">
      <c r="A129" s="4">
        <v>127</v>
      </c>
      <c r="B129" s="11" t="s">
        <v>418</v>
      </c>
      <c r="C129" s="10">
        <v>12</v>
      </c>
      <c r="D129" s="18">
        <f>0.35*gen!P129</f>
        <v>264.59999999999997</v>
      </c>
      <c r="E129">
        <v>1</v>
      </c>
      <c r="G129">
        <f t="shared" si="8"/>
        <v>-249.48000000000002</v>
      </c>
      <c r="H129">
        <f>0.33*gen!P129</f>
        <v>249.48000000000002</v>
      </c>
      <c r="I129">
        <v>1</v>
      </c>
      <c r="J129" t="b">
        <v>0</v>
      </c>
      <c r="K129" t="b">
        <v>1</v>
      </c>
      <c r="L129">
        <v>0</v>
      </c>
      <c r="M129" s="11" t="s">
        <v>309</v>
      </c>
      <c r="N129" t="b">
        <v>1</v>
      </c>
      <c r="O129">
        <v>0</v>
      </c>
      <c r="P129">
        <v>756</v>
      </c>
    </row>
    <row r="130" spans="1:16" x14ac:dyDescent="0.25">
      <c r="A130" s="4">
        <v>128</v>
      </c>
      <c r="B130" s="11" t="s">
        <v>419</v>
      </c>
      <c r="C130" s="10">
        <v>12</v>
      </c>
      <c r="D130" s="18">
        <f>0.35*gen!P130</f>
        <v>244.99999999999997</v>
      </c>
      <c r="E130">
        <v>1</v>
      </c>
      <c r="G130">
        <f t="shared" si="8"/>
        <v>-231</v>
      </c>
      <c r="H130">
        <f>0.33*gen!P130</f>
        <v>231</v>
      </c>
      <c r="I130">
        <v>1</v>
      </c>
      <c r="J130" t="b">
        <v>0</v>
      </c>
      <c r="K130" t="b">
        <v>1</v>
      </c>
      <c r="L130">
        <v>0</v>
      </c>
      <c r="M130" s="11" t="s">
        <v>309</v>
      </c>
      <c r="N130" t="b">
        <v>1</v>
      </c>
      <c r="O130">
        <v>0</v>
      </c>
      <c r="P130">
        <v>700</v>
      </c>
    </row>
    <row r="131" spans="1:16" x14ac:dyDescent="0.25">
      <c r="A131" s="4">
        <v>129</v>
      </c>
      <c r="B131" s="11" t="s">
        <v>423</v>
      </c>
      <c r="C131" s="10">
        <v>12</v>
      </c>
      <c r="D131" s="18">
        <f>0.35*gen!P131</f>
        <v>203</v>
      </c>
      <c r="E131">
        <v>1</v>
      </c>
      <c r="G131">
        <f t="shared" si="8"/>
        <v>-191.4</v>
      </c>
      <c r="H131">
        <f>0.33*gen!P131</f>
        <v>191.4</v>
      </c>
      <c r="I131">
        <v>1</v>
      </c>
      <c r="J131" t="b">
        <v>0</v>
      </c>
      <c r="K131" t="b">
        <v>1</v>
      </c>
      <c r="L131">
        <v>0</v>
      </c>
      <c r="M131" s="11" t="s">
        <v>309</v>
      </c>
      <c r="N131" t="b">
        <v>1</v>
      </c>
      <c r="O131">
        <v>0</v>
      </c>
      <c r="P131">
        <v>580</v>
      </c>
    </row>
    <row r="132" spans="1:16" x14ac:dyDescent="0.25">
      <c r="A132" s="4">
        <v>130</v>
      </c>
      <c r="B132" s="11" t="s">
        <v>420</v>
      </c>
      <c r="C132" s="10">
        <v>11</v>
      </c>
      <c r="D132" s="18">
        <f>0.35*gen!P132</f>
        <v>263.2</v>
      </c>
      <c r="E132">
        <v>1</v>
      </c>
      <c r="G132">
        <f t="shared" si="8"/>
        <v>-248.16000000000003</v>
      </c>
      <c r="H132">
        <f>0.33*gen!P132</f>
        <v>248.16000000000003</v>
      </c>
      <c r="I132">
        <v>1</v>
      </c>
      <c r="J132" t="b">
        <v>0</v>
      </c>
      <c r="K132" t="b">
        <v>1</v>
      </c>
      <c r="L132">
        <v>0</v>
      </c>
      <c r="M132" s="11" t="s">
        <v>309</v>
      </c>
      <c r="N132" t="b">
        <v>1</v>
      </c>
      <c r="O132">
        <v>0</v>
      </c>
      <c r="P132">
        <v>752</v>
      </c>
    </row>
    <row r="133" spans="1:16" x14ac:dyDescent="0.25">
      <c r="A133" s="4">
        <v>131</v>
      </c>
      <c r="B133" s="11" t="s">
        <v>422</v>
      </c>
      <c r="C133" s="10">
        <v>11</v>
      </c>
      <c r="D133" s="18">
        <f>0.35*gen!P133</f>
        <v>256.02499999999998</v>
      </c>
      <c r="E133">
        <v>1</v>
      </c>
      <c r="G133">
        <f t="shared" si="8"/>
        <v>-241.39500000000001</v>
      </c>
      <c r="H133">
        <f>0.33*gen!P133</f>
        <v>241.39500000000001</v>
      </c>
      <c r="I133">
        <v>1</v>
      </c>
      <c r="J133" t="b">
        <v>0</v>
      </c>
      <c r="K133" t="b">
        <v>1</v>
      </c>
      <c r="L133">
        <v>0</v>
      </c>
      <c r="M133" s="11" t="s">
        <v>309</v>
      </c>
      <c r="N133" t="b">
        <v>1</v>
      </c>
      <c r="O133">
        <v>0</v>
      </c>
      <c r="P133">
        <v>731.5</v>
      </c>
    </row>
    <row r="134" spans="1:16" x14ac:dyDescent="0.25">
      <c r="A134" s="4">
        <v>132</v>
      </c>
      <c r="B134" s="11" t="s">
        <v>421</v>
      </c>
      <c r="C134" s="10">
        <v>11</v>
      </c>
      <c r="D134" s="18">
        <f>0.35*gen!P134</f>
        <v>6.6499999999999995</v>
      </c>
      <c r="E134">
        <v>1</v>
      </c>
      <c r="G134">
        <f t="shared" si="8"/>
        <v>-6.2700000000000005</v>
      </c>
      <c r="H134">
        <f>0.33*gen!P134</f>
        <v>6.2700000000000005</v>
      </c>
      <c r="I134">
        <v>1</v>
      </c>
      <c r="J134" t="b">
        <v>0</v>
      </c>
      <c r="K134" t="b">
        <v>1</v>
      </c>
      <c r="L134">
        <v>0</v>
      </c>
      <c r="M134" s="11" t="s">
        <v>309</v>
      </c>
      <c r="N134" t="b">
        <v>1</v>
      </c>
      <c r="O134">
        <v>0</v>
      </c>
      <c r="P134">
        <v>19</v>
      </c>
    </row>
    <row r="135" spans="1:16" x14ac:dyDescent="0.25">
      <c r="A135" s="4">
        <v>133</v>
      </c>
      <c r="B135" s="11" t="s">
        <v>424</v>
      </c>
      <c r="C135" s="10">
        <v>28</v>
      </c>
      <c r="D135" s="18">
        <f>0.35*gen!P135</f>
        <v>700</v>
      </c>
      <c r="E135">
        <v>1</v>
      </c>
      <c r="G135">
        <f t="shared" si="8"/>
        <v>-660</v>
      </c>
      <c r="H135">
        <f>0.33*gen!P135</f>
        <v>660</v>
      </c>
      <c r="I135">
        <v>1</v>
      </c>
      <c r="J135" t="b">
        <v>0</v>
      </c>
      <c r="K135" t="b">
        <v>1</v>
      </c>
      <c r="L135">
        <v>0</v>
      </c>
      <c r="M135" s="11" t="s">
        <v>309</v>
      </c>
      <c r="N135" t="b">
        <v>1</v>
      </c>
      <c r="O135">
        <v>0</v>
      </c>
      <c r="P135">
        <v>2000</v>
      </c>
    </row>
    <row r="136" spans="1:16" x14ac:dyDescent="0.25">
      <c r="A136" s="4">
        <v>134</v>
      </c>
      <c r="B136" s="11" t="s">
        <v>425</v>
      </c>
      <c r="C136" s="10">
        <v>11</v>
      </c>
      <c r="D136" s="18">
        <f>0.35*gen!P136</f>
        <v>700</v>
      </c>
      <c r="E136">
        <v>1</v>
      </c>
      <c r="G136">
        <f t="shared" si="8"/>
        <v>-660</v>
      </c>
      <c r="H136">
        <f>0.33*gen!P136</f>
        <v>660</v>
      </c>
      <c r="I136">
        <v>1</v>
      </c>
      <c r="J136" t="b">
        <v>0</v>
      </c>
      <c r="K136" t="b">
        <v>1</v>
      </c>
      <c r="L136">
        <v>0</v>
      </c>
      <c r="M136" s="11" t="s">
        <v>309</v>
      </c>
      <c r="N136" t="b">
        <v>1</v>
      </c>
      <c r="O136">
        <v>0</v>
      </c>
      <c r="P136">
        <v>2000</v>
      </c>
    </row>
    <row r="137" spans="1:16" x14ac:dyDescent="0.25">
      <c r="A137" s="4">
        <v>135</v>
      </c>
      <c r="B137" s="11" t="s">
        <v>426</v>
      </c>
      <c r="C137" s="10">
        <v>28</v>
      </c>
      <c r="D137" s="18">
        <f>0.35*gen!P137</f>
        <v>700</v>
      </c>
      <c r="E137">
        <v>1</v>
      </c>
      <c r="G137">
        <f t="shared" si="8"/>
        <v>-660</v>
      </c>
      <c r="H137">
        <f>0.33*gen!P137</f>
        <v>660</v>
      </c>
      <c r="I137">
        <v>1</v>
      </c>
      <c r="J137" t="b">
        <v>0</v>
      </c>
      <c r="K137" t="b">
        <v>1</v>
      </c>
      <c r="L137">
        <v>0</v>
      </c>
      <c r="M137" s="11" t="s">
        <v>309</v>
      </c>
      <c r="N137" t="b">
        <v>1</v>
      </c>
      <c r="O137">
        <v>0</v>
      </c>
      <c r="P137">
        <v>2000</v>
      </c>
    </row>
    <row r="138" spans="1:16" x14ac:dyDescent="0.25">
      <c r="A138" s="4">
        <v>136</v>
      </c>
      <c r="B138" s="11" t="s">
        <v>461</v>
      </c>
      <c r="C138" s="10">
        <v>22</v>
      </c>
      <c r="D138" s="18">
        <f>0.35*gen!P138</f>
        <v>1050</v>
      </c>
      <c r="E138">
        <v>1</v>
      </c>
      <c r="G138">
        <f t="shared" si="8"/>
        <v>-990</v>
      </c>
      <c r="H138">
        <f>0.33*gen!P138</f>
        <v>990</v>
      </c>
      <c r="I138">
        <v>1</v>
      </c>
      <c r="J138" t="b">
        <v>0</v>
      </c>
      <c r="K138" t="b">
        <v>1</v>
      </c>
      <c r="L138">
        <v>0</v>
      </c>
      <c r="M138" s="11" t="s">
        <v>309</v>
      </c>
      <c r="N138" t="b">
        <v>1</v>
      </c>
      <c r="O138">
        <v>0</v>
      </c>
      <c r="P138">
        <v>3000</v>
      </c>
    </row>
    <row r="139" spans="1:16" x14ac:dyDescent="0.25">
      <c r="A139" s="4">
        <v>137</v>
      </c>
      <c r="B139" s="11" t="s">
        <v>462</v>
      </c>
      <c r="C139" s="10">
        <v>22</v>
      </c>
      <c r="D139" s="18">
        <f>0.35*gen!P139</f>
        <v>1050</v>
      </c>
      <c r="E139">
        <v>1</v>
      </c>
      <c r="G139">
        <f t="shared" si="8"/>
        <v>-990</v>
      </c>
      <c r="H139">
        <f>0.33*gen!P139</f>
        <v>990</v>
      </c>
      <c r="I139">
        <v>1</v>
      </c>
      <c r="J139" t="b">
        <v>0</v>
      </c>
      <c r="K139" t="b">
        <v>1</v>
      </c>
      <c r="L139">
        <v>0</v>
      </c>
      <c r="M139" s="11" t="s">
        <v>309</v>
      </c>
      <c r="N139" t="b">
        <v>1</v>
      </c>
      <c r="O139">
        <v>0</v>
      </c>
      <c r="P139">
        <v>3000</v>
      </c>
    </row>
    <row r="140" spans="1:16" x14ac:dyDescent="0.25">
      <c r="A140" s="4">
        <v>138</v>
      </c>
      <c r="B140" s="11" t="s">
        <v>427</v>
      </c>
      <c r="C140" s="10">
        <v>21</v>
      </c>
      <c r="D140" s="18">
        <f>0.35*gen!P140</f>
        <v>1400</v>
      </c>
      <c r="E140">
        <v>1</v>
      </c>
      <c r="G140">
        <f t="shared" si="8"/>
        <v>-1320</v>
      </c>
      <c r="H140">
        <f>0.33*gen!P140</f>
        <v>1320</v>
      </c>
      <c r="I140">
        <v>1</v>
      </c>
      <c r="J140" t="b">
        <v>0</v>
      </c>
      <c r="K140" t="b">
        <v>1</v>
      </c>
      <c r="L140">
        <v>0</v>
      </c>
      <c r="M140" s="11" t="s">
        <v>309</v>
      </c>
      <c r="N140" t="b">
        <v>1</v>
      </c>
      <c r="O140">
        <v>0</v>
      </c>
      <c r="P140">
        <v>4000</v>
      </c>
    </row>
    <row r="141" spans="1:16" x14ac:dyDescent="0.25">
      <c r="A141" s="4">
        <v>139</v>
      </c>
      <c r="B141" t="s">
        <v>428</v>
      </c>
      <c r="C141" s="10">
        <v>51</v>
      </c>
      <c r="D141" s="18">
        <f>0.35*gen!P141</f>
        <v>28</v>
      </c>
      <c r="E141">
        <v>1</v>
      </c>
      <c r="G141">
        <f t="shared" si="8"/>
        <v>-26.400000000000002</v>
      </c>
      <c r="H141">
        <f>0.33*gen!P141</f>
        <v>26.400000000000002</v>
      </c>
      <c r="I141">
        <v>1</v>
      </c>
      <c r="J141" t="b">
        <v>0</v>
      </c>
      <c r="K141" t="b">
        <v>1</v>
      </c>
      <c r="L141">
        <v>0</v>
      </c>
      <c r="M141" s="11" t="s">
        <v>309</v>
      </c>
      <c r="N141" t="b">
        <v>1</v>
      </c>
      <c r="O141">
        <v>0</v>
      </c>
      <c r="P141">
        <v>80</v>
      </c>
    </row>
    <row r="142" spans="1:16" x14ac:dyDescent="0.25">
      <c r="A142" s="4">
        <v>140</v>
      </c>
      <c r="B142" t="s">
        <v>429</v>
      </c>
      <c r="C142" s="10">
        <v>25</v>
      </c>
      <c r="D142" s="18">
        <f>0.35*gen!P142</f>
        <v>21</v>
      </c>
      <c r="E142">
        <v>1</v>
      </c>
      <c r="G142">
        <f t="shared" si="8"/>
        <v>-19.8</v>
      </c>
      <c r="H142">
        <f>0.33*gen!P142</f>
        <v>19.8</v>
      </c>
      <c r="I142">
        <v>1</v>
      </c>
      <c r="J142" t="b">
        <v>0</v>
      </c>
      <c r="K142" t="b">
        <v>1</v>
      </c>
      <c r="L142">
        <v>0</v>
      </c>
      <c r="M142" s="11" t="s">
        <v>309</v>
      </c>
      <c r="N142" t="b">
        <v>1</v>
      </c>
      <c r="O142">
        <v>0</v>
      </c>
      <c r="P142">
        <v>60</v>
      </c>
    </row>
    <row r="143" spans="1:16" x14ac:dyDescent="0.25">
      <c r="A143" s="4">
        <v>141</v>
      </c>
      <c r="B143" t="s">
        <v>430</v>
      </c>
      <c r="C143" s="10">
        <v>47</v>
      </c>
      <c r="D143" s="18">
        <f>0.35*gen!P143</f>
        <v>17.5</v>
      </c>
      <c r="E143">
        <v>1</v>
      </c>
      <c r="G143">
        <f t="shared" si="8"/>
        <v>-16.5</v>
      </c>
      <c r="H143">
        <f>0.33*gen!P143</f>
        <v>16.5</v>
      </c>
      <c r="I143">
        <v>1</v>
      </c>
      <c r="J143" t="b">
        <v>0</v>
      </c>
      <c r="K143" t="b">
        <v>1</v>
      </c>
      <c r="L143">
        <v>0</v>
      </c>
      <c r="M143" s="11" t="s">
        <v>309</v>
      </c>
      <c r="N143" t="b">
        <v>1</v>
      </c>
      <c r="O143">
        <v>0</v>
      </c>
      <c r="P143">
        <v>50</v>
      </c>
    </row>
    <row r="144" spans="1:16" x14ac:dyDescent="0.25">
      <c r="A144" s="4">
        <v>142</v>
      </c>
      <c r="B144" t="s">
        <v>432</v>
      </c>
      <c r="C144" s="10">
        <v>47</v>
      </c>
      <c r="D144" s="5">
        <f>0.1*gen!P144</f>
        <v>8.9</v>
      </c>
      <c r="E144">
        <v>1</v>
      </c>
      <c r="G144">
        <f t="shared" si="8"/>
        <v>-29.37</v>
      </c>
      <c r="H144">
        <f>0.33*gen!P144</f>
        <v>29.37</v>
      </c>
      <c r="I144">
        <v>1</v>
      </c>
      <c r="J144" t="b">
        <v>0</v>
      </c>
      <c r="K144" t="b">
        <v>1</v>
      </c>
      <c r="L144">
        <v>0</v>
      </c>
      <c r="M144" s="12" t="s">
        <v>337</v>
      </c>
      <c r="N144" t="b">
        <v>1</v>
      </c>
      <c r="O144">
        <v>0</v>
      </c>
      <c r="P144">
        <v>89</v>
      </c>
    </row>
    <row r="145" spans="1:16" x14ac:dyDescent="0.25">
      <c r="A145" s="4">
        <v>143</v>
      </c>
      <c r="B145" t="s">
        <v>431</v>
      </c>
      <c r="C145" s="10">
        <v>25</v>
      </c>
      <c r="D145" s="5">
        <f>0.1*gen!P145</f>
        <v>5.5</v>
      </c>
      <c r="E145">
        <v>1</v>
      </c>
      <c r="G145">
        <f t="shared" si="8"/>
        <v>-18.150000000000002</v>
      </c>
      <c r="H145">
        <f>0.33*gen!P145</f>
        <v>18.150000000000002</v>
      </c>
      <c r="I145">
        <v>1</v>
      </c>
      <c r="J145" t="b">
        <v>0</v>
      </c>
      <c r="K145" t="b">
        <v>1</v>
      </c>
      <c r="L145">
        <v>0</v>
      </c>
      <c r="M145" s="12" t="s">
        <v>337</v>
      </c>
      <c r="N145" t="b">
        <v>1</v>
      </c>
      <c r="O145">
        <v>0</v>
      </c>
      <c r="P145">
        <v>55</v>
      </c>
    </row>
    <row r="146" spans="1:16" x14ac:dyDescent="0.25">
      <c r="A146" s="4">
        <v>144</v>
      </c>
      <c r="B146" t="s">
        <v>433</v>
      </c>
      <c r="C146" s="10">
        <v>25</v>
      </c>
      <c r="D146" s="5">
        <f>0.1*gen!P146</f>
        <v>14.8</v>
      </c>
      <c r="E146">
        <v>1</v>
      </c>
      <c r="G146">
        <f t="shared" si="8"/>
        <v>-48.84</v>
      </c>
      <c r="H146">
        <f>0.33*gen!P146</f>
        <v>48.84</v>
      </c>
      <c r="I146">
        <v>1</v>
      </c>
      <c r="J146" t="b">
        <v>0</v>
      </c>
      <c r="K146" t="b">
        <v>1</v>
      </c>
      <c r="L146">
        <v>0</v>
      </c>
      <c r="M146" s="12" t="s">
        <v>337</v>
      </c>
      <c r="N146" t="b">
        <v>1</v>
      </c>
      <c r="O146">
        <v>0</v>
      </c>
      <c r="P146">
        <v>148</v>
      </c>
    </row>
    <row r="147" spans="1:16" x14ac:dyDescent="0.25">
      <c r="A147" s="4">
        <v>145</v>
      </c>
      <c r="B147" t="s">
        <v>434</v>
      </c>
      <c r="C147" s="10">
        <v>46</v>
      </c>
      <c r="D147" s="5">
        <f>0.1*gen!P147</f>
        <v>5</v>
      </c>
      <c r="E147">
        <v>1</v>
      </c>
      <c r="G147">
        <f t="shared" ref="G147:G178" si="9">-H147</f>
        <v>-16.5</v>
      </c>
      <c r="H147">
        <f>0.33*gen!P147</f>
        <v>16.5</v>
      </c>
      <c r="I147">
        <v>1</v>
      </c>
      <c r="J147" t="b">
        <v>0</v>
      </c>
      <c r="K147" t="b">
        <v>1</v>
      </c>
      <c r="L147">
        <v>0</v>
      </c>
      <c r="M147" s="12" t="s">
        <v>337</v>
      </c>
      <c r="N147" t="b">
        <v>1</v>
      </c>
      <c r="O147">
        <v>0</v>
      </c>
      <c r="P147">
        <v>50</v>
      </c>
    </row>
    <row r="148" spans="1:16" x14ac:dyDescent="0.25">
      <c r="A148" s="4">
        <v>146</v>
      </c>
      <c r="B148" t="s">
        <v>435</v>
      </c>
      <c r="C148" s="10">
        <v>16</v>
      </c>
      <c r="D148" s="5">
        <f>0.1*gen!P148</f>
        <v>8</v>
      </c>
      <c r="E148">
        <v>1</v>
      </c>
      <c r="G148">
        <f t="shared" si="9"/>
        <v>-26.400000000000002</v>
      </c>
      <c r="H148">
        <f>0.33*gen!P148</f>
        <v>26.400000000000002</v>
      </c>
      <c r="I148">
        <v>1</v>
      </c>
      <c r="J148" t="b">
        <v>0</v>
      </c>
      <c r="K148" t="b">
        <v>1</v>
      </c>
      <c r="L148">
        <v>0</v>
      </c>
      <c r="M148" s="12" t="s">
        <v>337</v>
      </c>
      <c r="N148" t="b">
        <v>1</v>
      </c>
      <c r="O148">
        <v>0</v>
      </c>
      <c r="P148">
        <v>80</v>
      </c>
    </row>
    <row r="149" spans="1:16" x14ac:dyDescent="0.25">
      <c r="A149" s="4">
        <v>147</v>
      </c>
      <c r="B149" t="s">
        <v>436</v>
      </c>
      <c r="C149" s="10">
        <v>45</v>
      </c>
      <c r="D149" s="5">
        <f>0.1*gen!P149</f>
        <v>6.1000000000000005</v>
      </c>
      <c r="E149">
        <v>1</v>
      </c>
      <c r="G149">
        <f t="shared" si="9"/>
        <v>-20.130000000000003</v>
      </c>
      <c r="H149">
        <f>0.33*gen!P149</f>
        <v>20.130000000000003</v>
      </c>
      <c r="I149">
        <v>1</v>
      </c>
      <c r="J149" t="b">
        <v>0</v>
      </c>
      <c r="K149" t="b">
        <v>1</v>
      </c>
      <c r="L149">
        <v>0</v>
      </c>
      <c r="M149" s="12" t="s">
        <v>337</v>
      </c>
      <c r="N149" t="b">
        <v>1</v>
      </c>
      <c r="O149">
        <v>0</v>
      </c>
      <c r="P149">
        <v>61</v>
      </c>
    </row>
    <row r="150" spans="1:16" x14ac:dyDescent="0.25">
      <c r="A150" s="4">
        <v>148</v>
      </c>
      <c r="B150" t="s">
        <v>437</v>
      </c>
      <c r="C150" s="10">
        <v>23</v>
      </c>
      <c r="D150" s="5">
        <f>0.1*gen!P150</f>
        <v>7.4</v>
      </c>
      <c r="E150">
        <v>1</v>
      </c>
      <c r="G150">
        <f t="shared" si="9"/>
        <v>-24.42</v>
      </c>
      <c r="H150">
        <f>0.33*gen!P150</f>
        <v>24.42</v>
      </c>
      <c r="I150">
        <v>1</v>
      </c>
      <c r="J150" t="b">
        <v>0</v>
      </c>
      <c r="K150" t="b">
        <v>1</v>
      </c>
      <c r="L150">
        <v>0</v>
      </c>
      <c r="M150" s="12" t="s">
        <v>337</v>
      </c>
      <c r="N150" t="b">
        <v>1</v>
      </c>
      <c r="O150">
        <v>0</v>
      </c>
      <c r="P150">
        <v>74</v>
      </c>
    </row>
    <row r="151" spans="1:16" x14ac:dyDescent="0.25">
      <c r="A151" s="4">
        <v>149</v>
      </c>
      <c r="B151" t="s">
        <v>438</v>
      </c>
      <c r="C151" s="10">
        <v>23</v>
      </c>
      <c r="D151" s="5">
        <f>0.1*gen!P151</f>
        <v>5.5</v>
      </c>
      <c r="E151">
        <v>1</v>
      </c>
      <c r="G151">
        <f t="shared" si="9"/>
        <v>-18.150000000000002</v>
      </c>
      <c r="H151">
        <f>0.33*gen!P151</f>
        <v>18.150000000000002</v>
      </c>
      <c r="I151">
        <v>1</v>
      </c>
      <c r="J151" t="b">
        <v>0</v>
      </c>
      <c r="K151" t="b">
        <v>1</v>
      </c>
      <c r="L151">
        <v>0</v>
      </c>
      <c r="M151" s="12" t="s">
        <v>337</v>
      </c>
      <c r="N151" t="b">
        <v>1</v>
      </c>
      <c r="O151">
        <v>0</v>
      </c>
      <c r="P151">
        <v>55</v>
      </c>
    </row>
    <row r="152" spans="1:16" x14ac:dyDescent="0.25">
      <c r="A152" s="4">
        <v>150</v>
      </c>
      <c r="B152" t="s">
        <v>439</v>
      </c>
      <c r="C152" s="10">
        <v>20</v>
      </c>
      <c r="D152" s="5">
        <f>0.1*gen!P152</f>
        <v>5.5</v>
      </c>
      <c r="E152">
        <v>1</v>
      </c>
      <c r="G152">
        <f t="shared" si="9"/>
        <v>-18.150000000000002</v>
      </c>
      <c r="H152">
        <f>0.33*gen!P152</f>
        <v>18.150000000000002</v>
      </c>
      <c r="I152">
        <v>1</v>
      </c>
      <c r="J152" t="b">
        <v>0</v>
      </c>
      <c r="K152" t="b">
        <v>1</v>
      </c>
      <c r="L152">
        <v>0</v>
      </c>
      <c r="M152" s="12" t="s">
        <v>337</v>
      </c>
      <c r="N152" t="b">
        <v>1</v>
      </c>
      <c r="O152">
        <v>0</v>
      </c>
      <c r="P152">
        <v>55</v>
      </c>
    </row>
    <row r="153" spans="1:16" x14ac:dyDescent="0.25">
      <c r="A153" s="4">
        <v>151</v>
      </c>
      <c r="B153" t="s">
        <v>440</v>
      </c>
      <c r="C153" s="10">
        <v>19</v>
      </c>
      <c r="D153" s="5">
        <f>0.1*gen!P153</f>
        <v>7.5</v>
      </c>
      <c r="E153">
        <v>1</v>
      </c>
      <c r="G153">
        <f t="shared" si="9"/>
        <v>-24.75</v>
      </c>
      <c r="H153">
        <f>0.33*gen!P153</f>
        <v>24.75</v>
      </c>
      <c r="I153">
        <v>1</v>
      </c>
      <c r="J153" t="b">
        <v>0</v>
      </c>
      <c r="K153" t="b">
        <v>1</v>
      </c>
      <c r="L153">
        <v>0</v>
      </c>
      <c r="M153" s="12" t="s">
        <v>337</v>
      </c>
      <c r="N153" t="b">
        <v>1</v>
      </c>
      <c r="O153">
        <v>0</v>
      </c>
      <c r="P153">
        <v>75</v>
      </c>
    </row>
    <row r="154" spans="1:16" x14ac:dyDescent="0.25">
      <c r="A154" s="4">
        <v>152</v>
      </c>
      <c r="B154" t="s">
        <v>441</v>
      </c>
      <c r="C154" s="10">
        <v>30</v>
      </c>
      <c r="D154" s="5">
        <f>0.1*gen!P154</f>
        <v>5.4</v>
      </c>
      <c r="E154">
        <v>1</v>
      </c>
      <c r="G154">
        <f t="shared" si="9"/>
        <v>-17.82</v>
      </c>
      <c r="H154">
        <f>0.33*gen!P154</f>
        <v>17.82</v>
      </c>
      <c r="I154">
        <v>1</v>
      </c>
      <c r="J154" t="b">
        <v>0</v>
      </c>
      <c r="K154" t="b">
        <v>1</v>
      </c>
      <c r="L154">
        <v>0</v>
      </c>
      <c r="M154" s="12" t="s">
        <v>337</v>
      </c>
      <c r="N154" t="b">
        <v>1</v>
      </c>
      <c r="O154">
        <v>0</v>
      </c>
      <c r="P154">
        <v>54</v>
      </c>
    </row>
    <row r="155" spans="1:16" x14ac:dyDescent="0.25">
      <c r="A155" s="4">
        <v>153</v>
      </c>
      <c r="B155" t="s">
        <v>442</v>
      </c>
      <c r="C155" s="10">
        <v>9</v>
      </c>
      <c r="D155" s="5">
        <f>0.1*gen!P155</f>
        <v>6.5</v>
      </c>
      <c r="E155">
        <v>1</v>
      </c>
      <c r="G155">
        <f t="shared" si="9"/>
        <v>-21.45</v>
      </c>
      <c r="H155">
        <f>0.33*gen!P155</f>
        <v>21.45</v>
      </c>
      <c r="I155">
        <v>1</v>
      </c>
      <c r="J155" t="b">
        <v>0</v>
      </c>
      <c r="K155" t="b">
        <v>1</v>
      </c>
      <c r="L155">
        <v>0</v>
      </c>
      <c r="M155" s="12" t="s">
        <v>337</v>
      </c>
      <c r="N155" t="b">
        <v>1</v>
      </c>
      <c r="O155">
        <v>0</v>
      </c>
      <c r="P155">
        <v>65</v>
      </c>
    </row>
    <row r="156" spans="1:16" x14ac:dyDescent="0.25">
      <c r="A156" s="4">
        <v>154</v>
      </c>
      <c r="B156" t="s">
        <v>443</v>
      </c>
      <c r="C156" s="10">
        <v>50</v>
      </c>
      <c r="D156" s="5">
        <f>0.1*gen!P156</f>
        <v>6.2</v>
      </c>
      <c r="E156">
        <v>1</v>
      </c>
      <c r="G156">
        <f t="shared" si="9"/>
        <v>-20.46</v>
      </c>
      <c r="H156">
        <f>0.33*gen!P156</f>
        <v>20.46</v>
      </c>
      <c r="I156">
        <v>1</v>
      </c>
      <c r="J156" t="b">
        <v>0</v>
      </c>
      <c r="K156" t="b">
        <v>1</v>
      </c>
      <c r="L156">
        <v>0</v>
      </c>
      <c r="M156" s="12" t="s">
        <v>337</v>
      </c>
      <c r="N156" t="b">
        <v>1</v>
      </c>
      <c r="O156">
        <v>0</v>
      </c>
      <c r="P156">
        <v>62</v>
      </c>
    </row>
    <row r="157" spans="1:16" x14ac:dyDescent="0.25">
      <c r="A157" s="4">
        <v>155</v>
      </c>
      <c r="B157" t="s">
        <v>444</v>
      </c>
      <c r="C157" s="10">
        <v>27</v>
      </c>
      <c r="D157" s="5">
        <f>0.1*gen!P157</f>
        <v>9.4</v>
      </c>
      <c r="E157">
        <v>1</v>
      </c>
      <c r="G157">
        <f t="shared" si="9"/>
        <v>-31.020000000000003</v>
      </c>
      <c r="H157">
        <f>0.33*gen!P157</f>
        <v>31.020000000000003</v>
      </c>
      <c r="I157">
        <v>1</v>
      </c>
      <c r="J157" t="b">
        <v>0</v>
      </c>
      <c r="K157" t="b">
        <v>1</v>
      </c>
      <c r="L157">
        <v>0</v>
      </c>
      <c r="M157" s="12" t="s">
        <v>337</v>
      </c>
      <c r="N157" t="b">
        <v>1</v>
      </c>
      <c r="O157">
        <v>0</v>
      </c>
      <c r="P157">
        <v>94</v>
      </c>
    </row>
    <row r="158" spans="1:16" x14ac:dyDescent="0.25">
      <c r="A158" s="4">
        <v>156</v>
      </c>
      <c r="B158" t="s">
        <v>450</v>
      </c>
      <c r="C158" s="10">
        <v>20</v>
      </c>
      <c r="D158" s="5">
        <f>0.1*gen!P158</f>
        <v>9.6000000000000014</v>
      </c>
      <c r="E158">
        <v>1</v>
      </c>
      <c r="G158">
        <f t="shared" si="9"/>
        <v>-31.68</v>
      </c>
      <c r="H158">
        <f>0.33*gen!P158</f>
        <v>31.68</v>
      </c>
      <c r="I158">
        <v>1</v>
      </c>
      <c r="J158" t="b">
        <v>0</v>
      </c>
      <c r="K158" t="b">
        <v>1</v>
      </c>
      <c r="L158">
        <v>0</v>
      </c>
      <c r="M158" s="12" t="s">
        <v>337</v>
      </c>
      <c r="N158" t="b">
        <v>1</v>
      </c>
      <c r="O158">
        <v>0</v>
      </c>
      <c r="P158">
        <v>96</v>
      </c>
    </row>
    <row r="159" spans="1:16" x14ac:dyDescent="0.25">
      <c r="A159" s="4">
        <v>157</v>
      </c>
      <c r="B159" t="s">
        <v>445</v>
      </c>
      <c r="C159" s="10">
        <v>27</v>
      </c>
      <c r="D159" s="5">
        <f>0.1*gen!P159</f>
        <v>8.6</v>
      </c>
      <c r="E159">
        <v>1</v>
      </c>
      <c r="G159">
        <f t="shared" si="9"/>
        <v>-28.380000000000003</v>
      </c>
      <c r="H159">
        <f>0.33*gen!P159</f>
        <v>28.380000000000003</v>
      </c>
      <c r="I159">
        <v>1</v>
      </c>
      <c r="J159" t="b">
        <v>0</v>
      </c>
      <c r="K159" t="b">
        <v>1</v>
      </c>
      <c r="L159">
        <v>0</v>
      </c>
      <c r="M159" s="12" t="s">
        <v>337</v>
      </c>
      <c r="N159" t="b">
        <v>1</v>
      </c>
      <c r="O159">
        <v>0</v>
      </c>
      <c r="P159">
        <v>86</v>
      </c>
    </row>
    <row r="160" spans="1:16" x14ac:dyDescent="0.25">
      <c r="A160" s="4">
        <v>158</v>
      </c>
      <c r="B160" t="s">
        <v>336</v>
      </c>
      <c r="C160" s="10">
        <v>47</v>
      </c>
      <c r="D160" s="5">
        <f>0.1*gen!P160</f>
        <v>13.200000000000001</v>
      </c>
      <c r="E160">
        <v>1</v>
      </c>
      <c r="G160">
        <f t="shared" si="9"/>
        <v>-43.56</v>
      </c>
      <c r="H160">
        <f>0.33*gen!P160</f>
        <v>43.56</v>
      </c>
      <c r="I160">
        <v>1</v>
      </c>
      <c r="J160" t="b">
        <v>0</v>
      </c>
      <c r="K160" t="b">
        <v>1</v>
      </c>
      <c r="L160">
        <v>0</v>
      </c>
      <c r="M160" s="12" t="s">
        <v>337</v>
      </c>
      <c r="N160" t="b">
        <v>1</v>
      </c>
      <c r="O160">
        <v>0</v>
      </c>
      <c r="P160">
        <v>132</v>
      </c>
    </row>
    <row r="161" spans="1:16" x14ac:dyDescent="0.25">
      <c r="A161" s="4">
        <v>159</v>
      </c>
      <c r="B161" t="s">
        <v>446</v>
      </c>
      <c r="C161" s="10">
        <v>48</v>
      </c>
      <c r="D161" s="5">
        <f>0.1*gen!P161</f>
        <v>6.5</v>
      </c>
      <c r="E161">
        <v>1</v>
      </c>
      <c r="G161">
        <f t="shared" si="9"/>
        <v>-21.45</v>
      </c>
      <c r="H161">
        <f>0.33*gen!P161</f>
        <v>21.45</v>
      </c>
      <c r="I161">
        <v>1</v>
      </c>
      <c r="J161" t="b">
        <v>0</v>
      </c>
      <c r="K161" t="b">
        <v>1</v>
      </c>
      <c r="L161">
        <v>0</v>
      </c>
      <c r="M161" s="12" t="s">
        <v>337</v>
      </c>
      <c r="N161" t="b">
        <v>1</v>
      </c>
      <c r="O161">
        <v>0</v>
      </c>
      <c r="P161">
        <v>65</v>
      </c>
    </row>
    <row r="162" spans="1:16" x14ac:dyDescent="0.25">
      <c r="A162" s="4">
        <v>160</v>
      </c>
      <c r="B162" t="s">
        <v>447</v>
      </c>
      <c r="C162" s="10">
        <v>27</v>
      </c>
      <c r="D162" s="5">
        <f>0.1*gen!P162</f>
        <v>11.600000000000001</v>
      </c>
      <c r="E162">
        <v>1</v>
      </c>
      <c r="G162">
        <f t="shared" si="9"/>
        <v>-38.28</v>
      </c>
      <c r="H162">
        <f>0.33*gen!P162</f>
        <v>38.28</v>
      </c>
      <c r="I162">
        <v>1</v>
      </c>
      <c r="J162" t="b">
        <v>0</v>
      </c>
      <c r="K162" t="b">
        <v>1</v>
      </c>
      <c r="L162">
        <v>0</v>
      </c>
      <c r="M162" s="12" t="s">
        <v>337</v>
      </c>
      <c r="N162" t="b">
        <v>1</v>
      </c>
      <c r="O162">
        <v>0</v>
      </c>
      <c r="P162">
        <v>116</v>
      </c>
    </row>
    <row r="163" spans="1:16" x14ac:dyDescent="0.25">
      <c r="A163" s="4">
        <v>161</v>
      </c>
      <c r="B163" t="s">
        <v>448</v>
      </c>
      <c r="C163" s="10">
        <v>9</v>
      </c>
      <c r="D163" s="5">
        <f>0.1*gen!P163</f>
        <v>6.3000000000000007</v>
      </c>
      <c r="E163">
        <v>1</v>
      </c>
      <c r="G163">
        <f t="shared" si="9"/>
        <v>-20.790000000000003</v>
      </c>
      <c r="H163">
        <f>0.33*gen!P163</f>
        <v>20.790000000000003</v>
      </c>
      <c r="I163">
        <v>1</v>
      </c>
      <c r="J163" t="b">
        <v>0</v>
      </c>
      <c r="K163" t="b">
        <v>1</v>
      </c>
      <c r="L163">
        <v>0</v>
      </c>
      <c r="M163" s="12" t="s">
        <v>337</v>
      </c>
      <c r="N163" t="b">
        <v>1</v>
      </c>
      <c r="O163">
        <v>0</v>
      </c>
      <c r="P163">
        <v>63</v>
      </c>
    </row>
    <row r="164" spans="1:16" x14ac:dyDescent="0.25">
      <c r="A164" s="4">
        <v>162</v>
      </c>
      <c r="B164" t="s">
        <v>449</v>
      </c>
      <c r="C164" s="10">
        <v>48</v>
      </c>
      <c r="D164" s="5">
        <f>0.1*gen!P164</f>
        <v>5.8000000000000007</v>
      </c>
      <c r="E164">
        <v>1</v>
      </c>
      <c r="G164">
        <f t="shared" si="9"/>
        <v>-19.14</v>
      </c>
      <c r="H164">
        <f>0.33*gen!P164</f>
        <v>19.14</v>
      </c>
      <c r="I164">
        <v>1</v>
      </c>
      <c r="J164" t="b">
        <v>0</v>
      </c>
      <c r="K164" t="b">
        <v>1</v>
      </c>
      <c r="L164">
        <v>0</v>
      </c>
      <c r="M164" s="12" t="s">
        <v>337</v>
      </c>
      <c r="N164" t="b">
        <v>1</v>
      </c>
      <c r="O164">
        <v>0</v>
      </c>
      <c r="P164">
        <v>58</v>
      </c>
    </row>
    <row r="165" spans="1:16" x14ac:dyDescent="0.25">
      <c r="A165" s="4">
        <v>163</v>
      </c>
      <c r="B165" t="s">
        <v>451</v>
      </c>
      <c r="C165" s="10">
        <v>20</v>
      </c>
      <c r="D165" s="5">
        <f>0.1*gen!P165</f>
        <v>11.5</v>
      </c>
      <c r="E165">
        <v>1</v>
      </c>
      <c r="G165">
        <f t="shared" si="9"/>
        <v>-37.950000000000003</v>
      </c>
      <c r="H165">
        <f>0.33*gen!P165</f>
        <v>37.950000000000003</v>
      </c>
      <c r="I165">
        <v>1</v>
      </c>
      <c r="J165" t="b">
        <v>0</v>
      </c>
      <c r="K165" t="b">
        <v>1</v>
      </c>
      <c r="L165">
        <v>0</v>
      </c>
      <c r="M165" s="12" t="s">
        <v>337</v>
      </c>
      <c r="N165" t="b">
        <v>1</v>
      </c>
      <c r="O165">
        <v>0</v>
      </c>
      <c r="P165">
        <v>115</v>
      </c>
    </row>
    <row r="166" spans="1:16" x14ac:dyDescent="0.25">
      <c r="A166" s="4">
        <v>164</v>
      </c>
      <c r="B166" t="s">
        <v>452</v>
      </c>
      <c r="C166" s="10">
        <v>5</v>
      </c>
      <c r="D166" s="5">
        <f>0.1*gen!P166</f>
        <v>10.8</v>
      </c>
      <c r="E166">
        <v>1</v>
      </c>
      <c r="G166">
        <f t="shared" si="9"/>
        <v>-35.64</v>
      </c>
      <c r="H166">
        <f>0.33*gen!P166</f>
        <v>35.64</v>
      </c>
      <c r="I166">
        <v>1</v>
      </c>
      <c r="J166" t="b">
        <v>0</v>
      </c>
      <c r="K166" t="b">
        <v>1</v>
      </c>
      <c r="L166">
        <v>0</v>
      </c>
      <c r="M166" s="12" t="s">
        <v>337</v>
      </c>
      <c r="N166" t="b">
        <v>1</v>
      </c>
      <c r="O166">
        <v>0</v>
      </c>
      <c r="P166">
        <v>108</v>
      </c>
    </row>
    <row r="167" spans="1:16" x14ac:dyDescent="0.25">
      <c r="A167" s="4">
        <v>165</v>
      </c>
      <c r="B167" t="s">
        <v>453</v>
      </c>
      <c r="C167" s="10">
        <v>3</v>
      </c>
      <c r="D167" s="5">
        <f>0.1*gen!P167</f>
        <v>5.3000000000000007</v>
      </c>
      <c r="E167">
        <v>1</v>
      </c>
      <c r="G167">
        <f t="shared" si="9"/>
        <v>-17.490000000000002</v>
      </c>
      <c r="H167">
        <f>0.33*gen!P167</f>
        <v>17.490000000000002</v>
      </c>
      <c r="I167">
        <v>1</v>
      </c>
      <c r="J167" t="b">
        <v>0</v>
      </c>
      <c r="K167" t="b">
        <v>1</v>
      </c>
      <c r="L167">
        <v>0</v>
      </c>
      <c r="M167" s="12" t="s">
        <v>337</v>
      </c>
      <c r="N167" t="b">
        <v>1</v>
      </c>
      <c r="O167">
        <v>0</v>
      </c>
      <c r="P167">
        <v>53</v>
      </c>
    </row>
    <row r="168" spans="1:16" x14ac:dyDescent="0.25">
      <c r="A168" s="4">
        <v>166</v>
      </c>
      <c r="B168" t="s">
        <v>454</v>
      </c>
      <c r="C168" s="10">
        <v>19</v>
      </c>
      <c r="D168" s="5">
        <f>0.1*gen!P168</f>
        <v>5.8000000000000007</v>
      </c>
      <c r="E168">
        <v>1</v>
      </c>
      <c r="G168">
        <f t="shared" si="9"/>
        <v>-19.14</v>
      </c>
      <c r="H168">
        <f>0.33*gen!P168</f>
        <v>19.14</v>
      </c>
      <c r="I168">
        <v>1</v>
      </c>
      <c r="J168" t="b">
        <v>0</v>
      </c>
      <c r="K168" t="b">
        <v>1</v>
      </c>
      <c r="L168">
        <v>0</v>
      </c>
      <c r="M168" s="12" t="s">
        <v>337</v>
      </c>
      <c r="N168" t="b">
        <v>1</v>
      </c>
      <c r="O168">
        <v>0</v>
      </c>
      <c r="P168">
        <v>58</v>
      </c>
    </row>
    <row r="169" spans="1:16" x14ac:dyDescent="0.25">
      <c r="A169" s="4">
        <v>167</v>
      </c>
      <c r="B169" t="s">
        <v>455</v>
      </c>
      <c r="C169" s="10">
        <v>31</v>
      </c>
      <c r="D169" s="5">
        <f>0.1*gen!P169</f>
        <v>6.2</v>
      </c>
      <c r="E169">
        <v>1</v>
      </c>
      <c r="G169">
        <f t="shared" si="9"/>
        <v>-20.46</v>
      </c>
      <c r="H169">
        <f>0.33*gen!P169</f>
        <v>20.46</v>
      </c>
      <c r="I169">
        <v>1</v>
      </c>
      <c r="J169" t="b">
        <v>0</v>
      </c>
      <c r="K169" t="b">
        <v>1</v>
      </c>
      <c r="L169">
        <v>0</v>
      </c>
      <c r="M169" s="12" t="s">
        <v>337</v>
      </c>
      <c r="N169" t="b">
        <v>1</v>
      </c>
      <c r="O169">
        <v>0</v>
      </c>
      <c r="P169">
        <v>62</v>
      </c>
    </row>
    <row r="170" spans="1:16" x14ac:dyDescent="0.25">
      <c r="A170" s="4">
        <v>168</v>
      </c>
      <c r="B170" t="s">
        <v>456</v>
      </c>
      <c r="C170" s="10">
        <v>31</v>
      </c>
      <c r="D170" s="5">
        <f>0.1*gen!P170</f>
        <v>13.600000000000001</v>
      </c>
      <c r="E170">
        <v>1</v>
      </c>
      <c r="G170">
        <f t="shared" si="9"/>
        <v>-44.88</v>
      </c>
      <c r="H170">
        <f>0.33*gen!P170</f>
        <v>44.88</v>
      </c>
      <c r="I170">
        <v>1</v>
      </c>
      <c r="J170" t="b">
        <v>0</v>
      </c>
      <c r="K170" t="b">
        <v>1</v>
      </c>
      <c r="L170">
        <v>0</v>
      </c>
      <c r="M170" s="12" t="s">
        <v>337</v>
      </c>
      <c r="N170" t="b">
        <v>1</v>
      </c>
      <c r="O170">
        <v>0</v>
      </c>
      <c r="P170">
        <v>136</v>
      </c>
    </row>
    <row r="171" spans="1:16" x14ac:dyDescent="0.25">
      <c r="A171" s="4">
        <v>169</v>
      </c>
      <c r="B171" t="s">
        <v>457</v>
      </c>
      <c r="C171" s="10">
        <v>8</v>
      </c>
      <c r="D171" s="5">
        <f>0.1*gen!P171</f>
        <v>5.9</v>
      </c>
      <c r="E171">
        <v>1</v>
      </c>
      <c r="G171">
        <f t="shared" si="9"/>
        <v>-19.470000000000002</v>
      </c>
      <c r="H171">
        <f>0.33*gen!P171</f>
        <v>19.470000000000002</v>
      </c>
      <c r="I171">
        <v>1</v>
      </c>
      <c r="J171" t="b">
        <v>0</v>
      </c>
      <c r="K171" t="b">
        <v>1</v>
      </c>
      <c r="L171">
        <v>0</v>
      </c>
      <c r="M171" s="12" t="s">
        <v>337</v>
      </c>
      <c r="N171" t="b">
        <v>1</v>
      </c>
      <c r="O171">
        <v>0</v>
      </c>
      <c r="P171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abSelected="1" workbookViewId="0">
      <selection activeCell="H2" sqref="H2"/>
    </sheetView>
  </sheetViews>
  <sheetFormatPr defaultRowHeight="15" x14ac:dyDescent="0.25"/>
  <sheetData>
    <row r="1" spans="1:13" x14ac:dyDescent="0.25">
      <c r="B1" s="1" t="s">
        <v>0</v>
      </c>
      <c r="C1" s="1" t="s">
        <v>98</v>
      </c>
      <c r="D1" s="1" t="s">
        <v>100</v>
      </c>
      <c r="E1" s="1" t="s">
        <v>115</v>
      </c>
      <c r="F1" s="1" t="s">
        <v>106</v>
      </c>
      <c r="G1" s="1" t="s">
        <v>4</v>
      </c>
      <c r="H1" s="1" t="s">
        <v>99</v>
      </c>
      <c r="I1" s="1" t="s">
        <v>108</v>
      </c>
      <c r="J1" s="1" t="s">
        <v>109</v>
      </c>
      <c r="K1" s="1" t="s">
        <v>102</v>
      </c>
      <c r="L1" s="1" t="s">
        <v>103</v>
      </c>
      <c r="M1" s="1" t="s">
        <v>107</v>
      </c>
    </row>
    <row r="2" spans="1:13" x14ac:dyDescent="0.25">
      <c r="A2" s="1">
        <v>0</v>
      </c>
      <c r="B2" t="s">
        <v>93</v>
      </c>
      <c r="C2">
        <v>40</v>
      </c>
      <c r="D2">
        <v>1</v>
      </c>
      <c r="E2">
        <v>0</v>
      </c>
      <c r="F2">
        <v>1</v>
      </c>
      <c r="G2" t="b">
        <v>1</v>
      </c>
      <c r="H2" s="16">
        <v>100</v>
      </c>
      <c r="I2">
        <v>-1972</v>
      </c>
      <c r="J2">
        <v>1972</v>
      </c>
      <c r="K2">
        <v>-5000</v>
      </c>
      <c r="L2">
        <v>5000</v>
      </c>
      <c r="M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2"/>
  <sheetViews>
    <sheetView topLeftCell="A22" zoomScale="84" workbookViewId="0">
      <selection activeCell="F1" sqref="F1"/>
    </sheetView>
  </sheetViews>
  <sheetFormatPr defaultRowHeight="15" x14ac:dyDescent="0.25"/>
  <cols>
    <col min="7" max="7" width="15" bestFit="1" customWidth="1"/>
    <col min="8" max="8" width="15.140625" bestFit="1" customWidth="1"/>
  </cols>
  <sheetData>
    <row r="1" spans="1:16" x14ac:dyDescent="0.25">
      <c r="B1" s="1" t="s">
        <v>0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2</v>
      </c>
      <c r="O1" s="1" t="s">
        <v>4</v>
      </c>
      <c r="P1" s="1" t="s">
        <v>127</v>
      </c>
    </row>
    <row r="2" spans="1:16" x14ac:dyDescent="0.25">
      <c r="A2" s="1">
        <v>0</v>
      </c>
      <c r="B2" t="s">
        <v>128</v>
      </c>
      <c r="D2">
        <v>0</v>
      </c>
      <c r="E2">
        <v>6</v>
      </c>
      <c r="F2">
        <v>0.04</v>
      </c>
      <c r="G2">
        <v>0.05</v>
      </c>
      <c r="H2">
        <v>0.7</v>
      </c>
      <c r="I2">
        <v>10</v>
      </c>
      <c r="J2">
        <v>0</v>
      </c>
      <c r="K2">
        <v>4</v>
      </c>
      <c r="L2">
        <v>1</v>
      </c>
      <c r="M2">
        <v>1</v>
      </c>
      <c r="N2" t="s">
        <v>203</v>
      </c>
      <c r="O2" t="b">
        <v>1</v>
      </c>
      <c r="P2">
        <v>100</v>
      </c>
    </row>
    <row r="3" spans="1:16" x14ac:dyDescent="0.25">
      <c r="A3" s="1">
        <v>1</v>
      </c>
      <c r="B3" t="s">
        <v>129</v>
      </c>
      <c r="D3">
        <v>0</v>
      </c>
      <c r="E3">
        <v>6</v>
      </c>
      <c r="F3">
        <v>0.04</v>
      </c>
      <c r="G3">
        <v>0.05</v>
      </c>
      <c r="H3">
        <v>0.7</v>
      </c>
      <c r="I3">
        <v>10</v>
      </c>
      <c r="J3">
        <v>0</v>
      </c>
      <c r="K3">
        <v>4</v>
      </c>
      <c r="L3">
        <v>1</v>
      </c>
      <c r="M3">
        <v>1</v>
      </c>
      <c r="N3" t="s">
        <v>203</v>
      </c>
      <c r="O3" t="b">
        <v>1</v>
      </c>
      <c r="P3">
        <v>100</v>
      </c>
    </row>
    <row r="4" spans="1:16" x14ac:dyDescent="0.25">
      <c r="A4" s="1">
        <v>2</v>
      </c>
      <c r="B4" t="s">
        <v>130</v>
      </c>
      <c r="D4">
        <v>2</v>
      </c>
      <c r="E4">
        <v>1</v>
      </c>
      <c r="F4">
        <v>31.4</v>
      </c>
      <c r="G4">
        <v>2.3853503184713382E-2</v>
      </c>
      <c r="H4">
        <v>0.26308917197452231</v>
      </c>
      <c r="I4">
        <v>10</v>
      </c>
      <c r="J4">
        <v>0</v>
      </c>
      <c r="K4">
        <v>2.5</v>
      </c>
      <c r="L4">
        <v>1</v>
      </c>
      <c r="M4">
        <v>1</v>
      </c>
      <c r="N4" t="s">
        <v>203</v>
      </c>
      <c r="O4" t="b">
        <v>1</v>
      </c>
      <c r="P4">
        <v>100</v>
      </c>
    </row>
    <row r="5" spans="1:16" x14ac:dyDescent="0.25">
      <c r="A5" s="1">
        <v>3</v>
      </c>
      <c r="B5" t="s">
        <v>131</v>
      </c>
      <c r="D5">
        <v>2</v>
      </c>
      <c r="E5">
        <v>1</v>
      </c>
      <c r="F5">
        <v>31.4</v>
      </c>
      <c r="G5">
        <v>2.3853503184713382E-2</v>
      </c>
      <c r="H5">
        <v>0.26308917197452231</v>
      </c>
      <c r="I5">
        <v>10</v>
      </c>
      <c r="J5">
        <v>0</v>
      </c>
      <c r="K5">
        <v>2.5</v>
      </c>
      <c r="L5">
        <v>1</v>
      </c>
      <c r="M5">
        <v>1</v>
      </c>
      <c r="N5" t="s">
        <v>203</v>
      </c>
      <c r="O5" t="b">
        <v>1</v>
      </c>
      <c r="P5">
        <v>100</v>
      </c>
    </row>
    <row r="6" spans="1:16" x14ac:dyDescent="0.25">
      <c r="A6" s="1">
        <v>4</v>
      </c>
      <c r="B6" t="s">
        <v>132</v>
      </c>
      <c r="D6">
        <v>3</v>
      </c>
      <c r="E6">
        <v>7</v>
      </c>
      <c r="F6">
        <v>43.1</v>
      </c>
      <c r="G6">
        <v>2.3981481481481479E-2</v>
      </c>
      <c r="H6">
        <v>0.26407407407407413</v>
      </c>
      <c r="I6">
        <v>10</v>
      </c>
      <c r="J6">
        <v>0</v>
      </c>
      <c r="K6">
        <v>2.5</v>
      </c>
      <c r="L6">
        <v>1</v>
      </c>
      <c r="M6">
        <v>1</v>
      </c>
      <c r="N6" t="s">
        <v>203</v>
      </c>
      <c r="O6" t="b">
        <v>1</v>
      </c>
      <c r="P6">
        <v>100</v>
      </c>
    </row>
    <row r="7" spans="1:16" x14ac:dyDescent="0.25">
      <c r="A7" s="1">
        <v>5</v>
      </c>
      <c r="B7" t="s">
        <v>133</v>
      </c>
      <c r="D7">
        <v>3</v>
      </c>
      <c r="E7">
        <v>7</v>
      </c>
      <c r="F7">
        <v>43.1</v>
      </c>
      <c r="G7">
        <v>2.3981481481481479E-2</v>
      </c>
      <c r="H7">
        <v>0.26407407407407413</v>
      </c>
      <c r="I7">
        <v>10</v>
      </c>
      <c r="J7">
        <v>0</v>
      </c>
      <c r="K7">
        <v>2.5</v>
      </c>
      <c r="L7">
        <v>1</v>
      </c>
      <c r="M7">
        <v>1</v>
      </c>
      <c r="N7" t="s">
        <v>203</v>
      </c>
      <c r="O7" t="b">
        <v>1</v>
      </c>
      <c r="P7">
        <v>100</v>
      </c>
    </row>
    <row r="8" spans="1:16" x14ac:dyDescent="0.25">
      <c r="A8" s="1">
        <v>6</v>
      </c>
      <c r="B8" t="s">
        <v>134</v>
      </c>
      <c r="D8">
        <v>3</v>
      </c>
      <c r="E8">
        <v>5</v>
      </c>
      <c r="F8">
        <v>28.5</v>
      </c>
      <c r="G8">
        <v>2.389473684210526E-2</v>
      </c>
      <c r="H8">
        <v>0.26277192982456138</v>
      </c>
      <c r="I8">
        <v>10</v>
      </c>
      <c r="J8">
        <v>0</v>
      </c>
      <c r="K8" s="5">
        <v>2.75</v>
      </c>
      <c r="L8">
        <v>1</v>
      </c>
      <c r="M8">
        <v>1</v>
      </c>
      <c r="N8" t="s">
        <v>203</v>
      </c>
      <c r="O8" t="b">
        <v>1</v>
      </c>
      <c r="P8">
        <v>100</v>
      </c>
    </row>
    <row r="9" spans="1:16" x14ac:dyDescent="0.25">
      <c r="A9" s="1">
        <v>7</v>
      </c>
      <c r="B9" t="s">
        <v>135</v>
      </c>
      <c r="D9">
        <v>3</v>
      </c>
      <c r="E9">
        <v>5</v>
      </c>
      <c r="F9">
        <v>28.5</v>
      </c>
      <c r="G9">
        <v>2.389473684210526E-2</v>
      </c>
      <c r="H9">
        <v>0.26277192982456138</v>
      </c>
      <c r="I9">
        <v>10</v>
      </c>
      <c r="J9">
        <v>0</v>
      </c>
      <c r="K9" s="5">
        <v>2.75</v>
      </c>
      <c r="L9">
        <v>1</v>
      </c>
      <c r="M9">
        <v>1</v>
      </c>
      <c r="N9" t="s">
        <v>203</v>
      </c>
      <c r="O9" t="b">
        <v>1</v>
      </c>
      <c r="P9">
        <v>100</v>
      </c>
    </row>
    <row r="10" spans="1:16" x14ac:dyDescent="0.25">
      <c r="A10" s="1">
        <v>8</v>
      </c>
      <c r="B10" t="s">
        <v>136</v>
      </c>
      <c r="D10">
        <v>5</v>
      </c>
      <c r="E10">
        <v>1</v>
      </c>
      <c r="F10">
        <v>43.8</v>
      </c>
      <c r="G10">
        <v>2.39041095890411E-2</v>
      </c>
      <c r="H10">
        <v>0.26289954337899551</v>
      </c>
      <c r="I10">
        <v>10</v>
      </c>
      <c r="J10">
        <v>0</v>
      </c>
      <c r="K10">
        <v>2.5</v>
      </c>
      <c r="L10">
        <v>1</v>
      </c>
      <c r="M10">
        <v>1</v>
      </c>
      <c r="N10" t="s">
        <v>203</v>
      </c>
      <c r="O10" t="b">
        <v>1</v>
      </c>
      <c r="P10">
        <v>100</v>
      </c>
    </row>
    <row r="11" spans="1:16" x14ac:dyDescent="0.25">
      <c r="A11" s="1">
        <v>9</v>
      </c>
      <c r="B11" t="s">
        <v>137</v>
      </c>
      <c r="D11">
        <v>5</v>
      </c>
      <c r="E11">
        <v>1</v>
      </c>
      <c r="F11">
        <v>43.8</v>
      </c>
      <c r="G11">
        <v>2.39041095890411E-2</v>
      </c>
      <c r="H11">
        <v>0.26289954337899551</v>
      </c>
      <c r="I11">
        <v>10</v>
      </c>
      <c r="J11">
        <v>0</v>
      </c>
      <c r="K11" s="5">
        <v>2.75</v>
      </c>
      <c r="L11">
        <v>1</v>
      </c>
      <c r="M11">
        <v>1</v>
      </c>
      <c r="N11" t="s">
        <v>203</v>
      </c>
      <c r="O11" t="b">
        <v>1</v>
      </c>
      <c r="P11">
        <v>100</v>
      </c>
    </row>
    <row r="12" spans="1:16" x14ac:dyDescent="0.25">
      <c r="A12" s="1">
        <v>10</v>
      </c>
      <c r="B12" t="s">
        <v>138</v>
      </c>
      <c r="D12">
        <v>6</v>
      </c>
      <c r="E12">
        <v>8</v>
      </c>
      <c r="F12">
        <v>25.6</v>
      </c>
      <c r="G12">
        <v>1.70703125E-2</v>
      </c>
      <c r="H12">
        <v>0.24734375</v>
      </c>
      <c r="I12">
        <v>10</v>
      </c>
      <c r="J12">
        <v>0</v>
      </c>
      <c r="K12">
        <v>2.2999999999999998</v>
      </c>
      <c r="L12">
        <v>1</v>
      </c>
      <c r="M12">
        <v>1</v>
      </c>
      <c r="N12" t="s">
        <v>203</v>
      </c>
      <c r="O12" t="b">
        <v>1</v>
      </c>
      <c r="P12">
        <v>100</v>
      </c>
    </row>
    <row r="13" spans="1:16" x14ac:dyDescent="0.25">
      <c r="A13" s="1">
        <v>11</v>
      </c>
      <c r="B13" t="s">
        <v>139</v>
      </c>
      <c r="D13">
        <v>6</v>
      </c>
      <c r="E13">
        <v>8</v>
      </c>
      <c r="F13">
        <v>25.6</v>
      </c>
      <c r="G13">
        <v>1.70703125E-2</v>
      </c>
      <c r="H13">
        <v>0.24734375</v>
      </c>
      <c r="I13">
        <v>10</v>
      </c>
      <c r="J13">
        <v>0</v>
      </c>
      <c r="K13" s="5">
        <v>2.5</v>
      </c>
      <c r="L13">
        <v>1</v>
      </c>
      <c r="M13">
        <v>1</v>
      </c>
      <c r="N13" t="s">
        <v>203</v>
      </c>
      <c r="O13" t="b">
        <v>1</v>
      </c>
      <c r="P13">
        <v>100</v>
      </c>
    </row>
    <row r="14" spans="1:16" x14ac:dyDescent="0.25">
      <c r="A14" s="1">
        <v>12</v>
      </c>
      <c r="B14" t="s">
        <v>140</v>
      </c>
      <c r="D14">
        <v>7</v>
      </c>
      <c r="E14">
        <v>9</v>
      </c>
      <c r="F14">
        <v>22.7</v>
      </c>
      <c r="G14">
        <v>1.7621145374449341E-2</v>
      </c>
      <c r="H14">
        <v>0.30704845814977971</v>
      </c>
      <c r="I14">
        <v>10</v>
      </c>
      <c r="J14">
        <v>0</v>
      </c>
      <c r="K14" s="5">
        <v>2.75</v>
      </c>
      <c r="L14">
        <v>1</v>
      </c>
      <c r="M14">
        <v>1</v>
      </c>
      <c r="N14" t="s">
        <v>203</v>
      </c>
      <c r="O14" t="b">
        <v>1</v>
      </c>
      <c r="P14">
        <v>100</v>
      </c>
    </row>
    <row r="15" spans="1:16" x14ac:dyDescent="0.25">
      <c r="A15" s="1">
        <v>13</v>
      </c>
      <c r="B15" t="s">
        <v>141</v>
      </c>
      <c r="D15">
        <v>7</v>
      </c>
      <c r="E15">
        <v>9</v>
      </c>
      <c r="F15">
        <v>22.7</v>
      </c>
      <c r="G15">
        <v>1.7621145374449341E-2</v>
      </c>
      <c r="H15">
        <v>0.30704845814977971</v>
      </c>
      <c r="I15">
        <v>10</v>
      </c>
      <c r="J15">
        <v>0</v>
      </c>
      <c r="K15" s="5">
        <v>2.75</v>
      </c>
      <c r="L15">
        <v>1</v>
      </c>
      <c r="M15">
        <v>1</v>
      </c>
      <c r="N15" t="s">
        <v>203</v>
      </c>
      <c r="O15" t="b">
        <v>1</v>
      </c>
      <c r="P15">
        <v>100</v>
      </c>
    </row>
    <row r="16" spans="1:16" x14ac:dyDescent="0.25">
      <c r="A16" s="1">
        <v>14</v>
      </c>
      <c r="B16" t="s">
        <v>142</v>
      </c>
      <c r="D16">
        <v>8</v>
      </c>
      <c r="E16">
        <v>4</v>
      </c>
      <c r="F16">
        <v>29.6</v>
      </c>
      <c r="G16">
        <v>1.6621621621621618E-2</v>
      </c>
      <c r="H16">
        <v>0.24486486486486489</v>
      </c>
      <c r="I16">
        <v>10</v>
      </c>
      <c r="J16">
        <v>0</v>
      </c>
      <c r="K16" s="5">
        <v>2.5</v>
      </c>
      <c r="L16">
        <v>1</v>
      </c>
      <c r="M16">
        <v>1</v>
      </c>
      <c r="N16" t="s">
        <v>203</v>
      </c>
      <c r="O16" t="b">
        <v>1</v>
      </c>
      <c r="P16">
        <v>100</v>
      </c>
    </row>
    <row r="17" spans="1:16" x14ac:dyDescent="0.25">
      <c r="A17" s="1">
        <v>15</v>
      </c>
      <c r="B17" t="s">
        <v>143</v>
      </c>
      <c r="D17">
        <v>8</v>
      </c>
      <c r="E17">
        <v>4</v>
      </c>
      <c r="F17">
        <v>29.6</v>
      </c>
      <c r="G17">
        <v>1.6621621621621618E-2</v>
      </c>
      <c r="H17">
        <v>0.24486486486486489</v>
      </c>
      <c r="I17">
        <v>10</v>
      </c>
      <c r="J17">
        <v>0</v>
      </c>
      <c r="K17" s="5">
        <v>2.5</v>
      </c>
      <c r="L17">
        <v>1</v>
      </c>
      <c r="M17">
        <v>1</v>
      </c>
      <c r="N17" t="s">
        <v>203</v>
      </c>
      <c r="O17" t="b">
        <v>1</v>
      </c>
      <c r="P17">
        <v>100</v>
      </c>
    </row>
    <row r="18" spans="1:16" x14ac:dyDescent="0.25">
      <c r="A18" s="1">
        <v>16</v>
      </c>
      <c r="B18" t="s">
        <v>144</v>
      </c>
      <c r="D18">
        <v>9</v>
      </c>
      <c r="E18">
        <v>2</v>
      </c>
      <c r="F18">
        <v>64</v>
      </c>
      <c r="G18">
        <v>2.0343750000000001E-2</v>
      </c>
      <c r="H18">
        <v>0.29249999999999998</v>
      </c>
      <c r="I18">
        <v>10</v>
      </c>
      <c r="J18">
        <v>0</v>
      </c>
      <c r="K18" s="5">
        <v>2.75</v>
      </c>
      <c r="L18">
        <v>1</v>
      </c>
      <c r="M18">
        <v>1</v>
      </c>
      <c r="N18" t="s">
        <v>203</v>
      </c>
      <c r="O18" t="b">
        <v>1</v>
      </c>
      <c r="P18">
        <v>100</v>
      </c>
    </row>
    <row r="19" spans="1:16" x14ac:dyDescent="0.25">
      <c r="A19" s="1">
        <v>17</v>
      </c>
      <c r="B19" t="s">
        <v>145</v>
      </c>
      <c r="D19">
        <v>9</v>
      </c>
      <c r="E19">
        <v>2</v>
      </c>
      <c r="F19">
        <v>64</v>
      </c>
      <c r="G19">
        <v>2.0343750000000001E-2</v>
      </c>
      <c r="H19">
        <v>0.29249999999999998</v>
      </c>
      <c r="I19">
        <v>10</v>
      </c>
      <c r="J19">
        <v>0</v>
      </c>
      <c r="K19" s="5">
        <v>2.75</v>
      </c>
      <c r="L19">
        <v>1</v>
      </c>
      <c r="M19">
        <v>1</v>
      </c>
      <c r="N19" t="s">
        <v>203</v>
      </c>
      <c r="O19" t="b">
        <v>1</v>
      </c>
      <c r="P19">
        <v>100</v>
      </c>
    </row>
    <row r="20" spans="1:16" x14ac:dyDescent="0.25">
      <c r="A20" s="1">
        <v>18</v>
      </c>
      <c r="B20" t="s">
        <v>146</v>
      </c>
      <c r="D20">
        <v>10</v>
      </c>
      <c r="E20">
        <v>15</v>
      </c>
      <c r="F20">
        <v>37.5</v>
      </c>
      <c r="G20">
        <v>2.3733333333333329E-2</v>
      </c>
      <c r="H20">
        <v>0.27386666666666659</v>
      </c>
      <c r="I20">
        <v>10</v>
      </c>
      <c r="J20">
        <v>0</v>
      </c>
      <c r="K20" s="5">
        <v>3.1</v>
      </c>
      <c r="L20">
        <v>1</v>
      </c>
      <c r="M20">
        <v>1</v>
      </c>
      <c r="N20" t="s">
        <v>204</v>
      </c>
      <c r="O20" t="b">
        <v>1</v>
      </c>
      <c r="P20">
        <v>100</v>
      </c>
    </row>
    <row r="21" spans="1:16" x14ac:dyDescent="0.25">
      <c r="A21" s="1">
        <v>19</v>
      </c>
      <c r="B21" t="s">
        <v>147</v>
      </c>
      <c r="D21">
        <v>11</v>
      </c>
      <c r="E21">
        <v>30</v>
      </c>
      <c r="F21">
        <v>38.9</v>
      </c>
      <c r="G21">
        <v>2.4164524421593829E-2</v>
      </c>
      <c r="H21">
        <v>0.27640102827763502</v>
      </c>
      <c r="I21">
        <v>10</v>
      </c>
      <c r="J21">
        <v>0</v>
      </c>
      <c r="K21" s="5">
        <v>3.3</v>
      </c>
      <c r="L21">
        <v>1</v>
      </c>
      <c r="M21">
        <v>1</v>
      </c>
      <c r="N21" t="s">
        <v>204</v>
      </c>
      <c r="O21" t="b">
        <v>1</v>
      </c>
      <c r="P21">
        <v>100</v>
      </c>
    </row>
    <row r="22" spans="1:16" x14ac:dyDescent="0.25">
      <c r="A22" s="1">
        <v>20</v>
      </c>
      <c r="B22" t="s">
        <v>148</v>
      </c>
      <c r="D22">
        <v>11</v>
      </c>
      <c r="E22">
        <v>30</v>
      </c>
      <c r="F22">
        <v>38.9</v>
      </c>
      <c r="G22">
        <v>2.4164524421593829E-2</v>
      </c>
      <c r="H22">
        <v>0.27640102827763502</v>
      </c>
      <c r="I22">
        <v>10</v>
      </c>
      <c r="J22">
        <v>0</v>
      </c>
      <c r="K22" s="5">
        <v>3.3</v>
      </c>
      <c r="L22">
        <v>1</v>
      </c>
      <c r="M22">
        <v>1</v>
      </c>
      <c r="N22" t="s">
        <v>204</v>
      </c>
      <c r="O22" t="b">
        <v>1</v>
      </c>
      <c r="P22">
        <v>100</v>
      </c>
    </row>
    <row r="23" spans="1:16" x14ac:dyDescent="0.25">
      <c r="A23" s="1">
        <v>21</v>
      </c>
      <c r="B23" t="s">
        <v>149</v>
      </c>
      <c r="D23">
        <v>12</v>
      </c>
      <c r="E23">
        <v>29</v>
      </c>
      <c r="F23">
        <v>17</v>
      </c>
      <c r="G23">
        <v>2.3529411764705879E-2</v>
      </c>
      <c r="H23">
        <v>0.27352941176470591</v>
      </c>
      <c r="I23">
        <v>10</v>
      </c>
      <c r="J23">
        <v>0</v>
      </c>
      <c r="K23" s="5">
        <v>3.3</v>
      </c>
      <c r="L23">
        <v>1</v>
      </c>
      <c r="M23">
        <v>1</v>
      </c>
      <c r="N23" t="s">
        <v>204</v>
      </c>
      <c r="O23" t="b">
        <v>1</v>
      </c>
      <c r="P23">
        <v>100</v>
      </c>
    </row>
    <row r="24" spans="1:16" x14ac:dyDescent="0.25">
      <c r="A24" s="1">
        <v>22</v>
      </c>
      <c r="B24" t="s">
        <v>150</v>
      </c>
      <c r="D24">
        <v>12</v>
      </c>
      <c r="E24">
        <v>29</v>
      </c>
      <c r="F24">
        <v>17</v>
      </c>
      <c r="G24">
        <v>2.3529411764705879E-2</v>
      </c>
      <c r="H24">
        <v>0.27352941176470591</v>
      </c>
      <c r="I24">
        <v>10</v>
      </c>
      <c r="J24">
        <v>0</v>
      </c>
      <c r="K24" s="5">
        <v>3.3</v>
      </c>
      <c r="L24">
        <v>1</v>
      </c>
      <c r="M24">
        <v>1</v>
      </c>
      <c r="N24" t="s">
        <v>204</v>
      </c>
      <c r="O24" t="b">
        <v>1</v>
      </c>
      <c r="P24">
        <v>100</v>
      </c>
    </row>
    <row r="25" spans="1:16" x14ac:dyDescent="0.25">
      <c r="A25" s="1">
        <v>23</v>
      </c>
      <c r="B25" t="s">
        <v>151</v>
      </c>
      <c r="D25">
        <v>12</v>
      </c>
      <c r="E25">
        <v>31</v>
      </c>
      <c r="F25">
        <v>14.3</v>
      </c>
      <c r="G25">
        <v>1.538461538461538E-2</v>
      </c>
      <c r="H25">
        <v>0.1916083916083916</v>
      </c>
      <c r="I25">
        <v>10</v>
      </c>
      <c r="J25">
        <v>0</v>
      </c>
      <c r="K25">
        <v>1.5</v>
      </c>
      <c r="L25">
        <v>1</v>
      </c>
      <c r="M25">
        <v>1</v>
      </c>
      <c r="N25" t="s">
        <v>204</v>
      </c>
      <c r="O25" t="b">
        <v>1</v>
      </c>
      <c r="P25">
        <v>100</v>
      </c>
    </row>
    <row r="26" spans="1:16" x14ac:dyDescent="0.25">
      <c r="A26" s="1">
        <v>24</v>
      </c>
      <c r="B26" t="s">
        <v>152</v>
      </c>
      <c r="D26">
        <v>12</v>
      </c>
      <c r="E26">
        <v>31</v>
      </c>
      <c r="F26">
        <v>14.3</v>
      </c>
      <c r="G26">
        <v>1.538461538461538E-2</v>
      </c>
      <c r="H26">
        <v>0.1916083916083916</v>
      </c>
      <c r="I26">
        <v>10</v>
      </c>
      <c r="J26">
        <v>0</v>
      </c>
      <c r="K26">
        <v>1.5</v>
      </c>
      <c r="L26">
        <v>1</v>
      </c>
      <c r="M26">
        <v>1</v>
      </c>
      <c r="N26" t="s">
        <v>204</v>
      </c>
      <c r="O26" t="b">
        <v>1</v>
      </c>
      <c r="P26">
        <v>100</v>
      </c>
    </row>
    <row r="27" spans="1:16" x14ac:dyDescent="0.25">
      <c r="A27" s="1">
        <v>25</v>
      </c>
      <c r="B27" t="s">
        <v>153</v>
      </c>
      <c r="D27">
        <v>13</v>
      </c>
      <c r="E27">
        <v>31</v>
      </c>
      <c r="F27">
        <v>45.9</v>
      </c>
      <c r="G27">
        <v>1.366013071895425E-2</v>
      </c>
      <c r="H27">
        <v>0.2161437908496732</v>
      </c>
      <c r="I27">
        <v>10</v>
      </c>
      <c r="J27">
        <v>0</v>
      </c>
      <c r="K27">
        <v>3</v>
      </c>
      <c r="L27">
        <v>1</v>
      </c>
      <c r="M27">
        <v>1</v>
      </c>
      <c r="N27" t="s">
        <v>204</v>
      </c>
      <c r="O27" t="b">
        <v>1</v>
      </c>
      <c r="P27">
        <v>100</v>
      </c>
    </row>
    <row r="28" spans="1:16" x14ac:dyDescent="0.25">
      <c r="A28" s="1">
        <v>26</v>
      </c>
      <c r="B28" t="s">
        <v>154</v>
      </c>
      <c r="D28">
        <v>13</v>
      </c>
      <c r="E28">
        <v>31</v>
      </c>
      <c r="F28">
        <v>45.9</v>
      </c>
      <c r="G28">
        <v>1.366013071895425E-2</v>
      </c>
      <c r="H28">
        <v>0.2161437908496732</v>
      </c>
      <c r="I28">
        <v>10</v>
      </c>
      <c r="J28">
        <v>0</v>
      </c>
      <c r="K28">
        <v>3</v>
      </c>
      <c r="L28">
        <v>1</v>
      </c>
      <c r="M28">
        <v>1</v>
      </c>
      <c r="N28" t="s">
        <v>204</v>
      </c>
      <c r="O28" t="b">
        <v>1</v>
      </c>
      <c r="P28">
        <v>100</v>
      </c>
    </row>
    <row r="29" spans="1:16" x14ac:dyDescent="0.25">
      <c r="A29" s="1">
        <v>27</v>
      </c>
      <c r="B29" t="s">
        <v>155</v>
      </c>
      <c r="D29">
        <v>14</v>
      </c>
      <c r="E29">
        <v>24</v>
      </c>
      <c r="F29">
        <v>14.8</v>
      </c>
      <c r="G29">
        <v>1.5337837837837841E-2</v>
      </c>
      <c r="H29">
        <v>0.24297297297297299</v>
      </c>
      <c r="I29">
        <v>10</v>
      </c>
      <c r="J29">
        <v>0</v>
      </c>
      <c r="K29">
        <v>4</v>
      </c>
      <c r="L29">
        <v>1</v>
      </c>
      <c r="M29">
        <v>1</v>
      </c>
      <c r="N29" t="s">
        <v>204</v>
      </c>
      <c r="O29" t="b">
        <v>1</v>
      </c>
      <c r="P29">
        <v>100</v>
      </c>
    </row>
    <row r="30" spans="1:16" x14ac:dyDescent="0.25">
      <c r="A30" s="1">
        <v>28</v>
      </c>
      <c r="B30" t="s">
        <v>156</v>
      </c>
      <c r="D30">
        <v>14</v>
      </c>
      <c r="E30">
        <v>24</v>
      </c>
      <c r="F30">
        <v>14.8</v>
      </c>
      <c r="G30">
        <v>1.5337837837837841E-2</v>
      </c>
      <c r="H30">
        <v>0.24297297297297299</v>
      </c>
      <c r="I30">
        <v>10</v>
      </c>
      <c r="J30">
        <v>0</v>
      </c>
      <c r="K30">
        <v>4</v>
      </c>
      <c r="L30">
        <v>1</v>
      </c>
      <c r="M30">
        <v>1</v>
      </c>
      <c r="N30" t="s">
        <v>204</v>
      </c>
      <c r="O30" t="b">
        <v>1</v>
      </c>
      <c r="P30">
        <v>100</v>
      </c>
    </row>
    <row r="31" spans="1:16" x14ac:dyDescent="0.25">
      <c r="A31" s="1">
        <v>29</v>
      </c>
      <c r="B31" t="s">
        <v>157</v>
      </c>
      <c r="D31">
        <v>16</v>
      </c>
      <c r="E31">
        <v>17</v>
      </c>
      <c r="F31">
        <v>45.4</v>
      </c>
      <c r="G31">
        <v>2.5440528634361231E-2</v>
      </c>
      <c r="H31">
        <v>0.27251101321585902</v>
      </c>
      <c r="I31">
        <v>10</v>
      </c>
      <c r="J31">
        <v>0</v>
      </c>
      <c r="K31" s="5">
        <v>3.1</v>
      </c>
      <c r="L31">
        <v>1</v>
      </c>
      <c r="M31">
        <v>1</v>
      </c>
      <c r="N31" t="s">
        <v>204</v>
      </c>
      <c r="O31" t="b">
        <v>1</v>
      </c>
      <c r="P31">
        <v>100</v>
      </c>
    </row>
    <row r="32" spans="1:16" x14ac:dyDescent="0.25">
      <c r="A32" s="1">
        <v>30</v>
      </c>
      <c r="B32" t="s">
        <v>158</v>
      </c>
      <c r="D32">
        <v>16</v>
      </c>
      <c r="E32">
        <v>17</v>
      </c>
      <c r="F32">
        <v>45.4</v>
      </c>
      <c r="G32">
        <v>2.5440528634361231E-2</v>
      </c>
      <c r="H32">
        <v>0.27251101321585902</v>
      </c>
      <c r="I32">
        <v>10</v>
      </c>
      <c r="J32">
        <v>0</v>
      </c>
      <c r="K32" s="5">
        <v>3.1</v>
      </c>
      <c r="L32">
        <v>1</v>
      </c>
      <c r="M32">
        <v>1</v>
      </c>
      <c r="N32" t="s">
        <v>204</v>
      </c>
      <c r="O32" t="b">
        <v>1</v>
      </c>
      <c r="P32">
        <v>100</v>
      </c>
    </row>
    <row r="33" spans="1:16" x14ac:dyDescent="0.25">
      <c r="A33" s="1">
        <v>31</v>
      </c>
      <c r="B33" t="s">
        <v>159</v>
      </c>
      <c r="D33">
        <v>17</v>
      </c>
      <c r="E33">
        <v>23</v>
      </c>
      <c r="F33">
        <v>58.7</v>
      </c>
      <c r="G33">
        <v>2.540034071550256E-2</v>
      </c>
      <c r="H33">
        <v>0.2732538330494037</v>
      </c>
      <c r="I33">
        <v>10</v>
      </c>
      <c r="J33">
        <v>0</v>
      </c>
      <c r="K33" s="5">
        <v>3.1</v>
      </c>
      <c r="L33">
        <v>1</v>
      </c>
      <c r="M33">
        <v>1</v>
      </c>
      <c r="N33" t="s">
        <v>204</v>
      </c>
      <c r="O33" t="b">
        <v>1</v>
      </c>
      <c r="P33">
        <v>100</v>
      </c>
    </row>
    <row r="34" spans="1:16" x14ac:dyDescent="0.25">
      <c r="A34" s="1">
        <v>32</v>
      </c>
      <c r="B34" t="s">
        <v>160</v>
      </c>
      <c r="D34">
        <v>17</v>
      </c>
      <c r="E34">
        <v>23</v>
      </c>
      <c r="F34">
        <v>58.7</v>
      </c>
      <c r="G34">
        <v>2.540034071550256E-2</v>
      </c>
      <c r="H34">
        <v>0.2732538330494037</v>
      </c>
      <c r="I34">
        <v>10</v>
      </c>
      <c r="J34">
        <v>0</v>
      </c>
      <c r="K34" s="5">
        <v>3.1</v>
      </c>
      <c r="L34">
        <v>1</v>
      </c>
      <c r="M34">
        <v>1</v>
      </c>
      <c r="N34" t="s">
        <v>204</v>
      </c>
      <c r="O34" t="b">
        <v>1</v>
      </c>
      <c r="P34">
        <v>100</v>
      </c>
    </row>
    <row r="35" spans="1:16" x14ac:dyDescent="0.25">
      <c r="A35" s="1">
        <v>33</v>
      </c>
      <c r="B35" s="16" t="s">
        <v>161</v>
      </c>
      <c r="C35" s="16"/>
      <c r="D35" s="16">
        <v>17</v>
      </c>
      <c r="E35" s="16">
        <v>40</v>
      </c>
      <c r="F35" s="16">
        <v>10</v>
      </c>
      <c r="G35" s="16">
        <f xml:space="preserve"> (0.0009*380*380)/(1000*10)</f>
        <v>1.2995999999999997E-2</v>
      </c>
      <c r="H35" s="16">
        <f>(0.03*380*380)/(1000*10)</f>
        <v>0.43319999999999997</v>
      </c>
      <c r="I35" s="16">
        <v>0</v>
      </c>
      <c r="J35" s="16">
        <v>0</v>
      </c>
      <c r="K35" s="16">
        <v>4</v>
      </c>
      <c r="L35" s="16">
        <v>1</v>
      </c>
      <c r="M35" s="16">
        <v>1</v>
      </c>
      <c r="N35" s="16" t="s">
        <v>204</v>
      </c>
      <c r="O35" s="16" t="b">
        <v>1</v>
      </c>
      <c r="P35" s="16">
        <v>100</v>
      </c>
    </row>
    <row r="36" spans="1:16" x14ac:dyDescent="0.25">
      <c r="A36" s="1">
        <v>34</v>
      </c>
      <c r="B36" s="16" t="s">
        <v>162</v>
      </c>
      <c r="C36" s="16"/>
      <c r="D36" s="16">
        <v>17</v>
      </c>
      <c r="E36" s="16">
        <v>40</v>
      </c>
      <c r="F36" s="16">
        <v>10</v>
      </c>
      <c r="G36" s="16">
        <f xml:space="preserve"> (0.0009*380*380)/(1000*10)</f>
        <v>1.2995999999999997E-2</v>
      </c>
      <c r="H36" s="16">
        <f>(0.03*380*380)/(1000*10)</f>
        <v>0.43319999999999997</v>
      </c>
      <c r="I36" s="16">
        <v>0</v>
      </c>
      <c r="J36" s="16">
        <v>0</v>
      </c>
      <c r="K36" s="16">
        <v>4</v>
      </c>
      <c r="L36" s="16">
        <v>1</v>
      </c>
      <c r="M36" s="16">
        <v>1</v>
      </c>
      <c r="N36" s="16" t="s">
        <v>204</v>
      </c>
      <c r="O36" s="16" t="b">
        <v>1</v>
      </c>
      <c r="P36" s="16">
        <v>100</v>
      </c>
    </row>
    <row r="37" spans="1:16" x14ac:dyDescent="0.25">
      <c r="A37" s="1">
        <v>35</v>
      </c>
      <c r="B37" t="s">
        <v>163</v>
      </c>
      <c r="D37">
        <v>18</v>
      </c>
      <c r="E37">
        <v>27</v>
      </c>
      <c r="F37">
        <v>36.799999999999997</v>
      </c>
      <c r="G37">
        <v>1.383152173913044E-2</v>
      </c>
      <c r="H37">
        <v>0.23828804347826091</v>
      </c>
      <c r="I37">
        <v>10</v>
      </c>
      <c r="J37">
        <v>0</v>
      </c>
      <c r="K37">
        <v>4</v>
      </c>
      <c r="L37">
        <v>1</v>
      </c>
      <c r="M37">
        <v>1</v>
      </c>
      <c r="N37" t="s">
        <v>204</v>
      </c>
      <c r="O37" t="b">
        <v>1</v>
      </c>
      <c r="P37">
        <v>100</v>
      </c>
    </row>
    <row r="38" spans="1:16" x14ac:dyDescent="0.25">
      <c r="A38" s="1">
        <v>36</v>
      </c>
      <c r="B38" t="s">
        <v>164</v>
      </c>
      <c r="D38">
        <v>18</v>
      </c>
      <c r="E38">
        <v>27</v>
      </c>
      <c r="F38">
        <v>36.799999999999997</v>
      </c>
      <c r="G38">
        <v>1.383152173913044E-2</v>
      </c>
      <c r="H38">
        <v>0.23828804347826091</v>
      </c>
      <c r="I38">
        <v>10</v>
      </c>
      <c r="J38">
        <v>0</v>
      </c>
      <c r="K38">
        <v>4</v>
      </c>
      <c r="L38">
        <v>1</v>
      </c>
      <c r="M38">
        <v>1</v>
      </c>
      <c r="N38" t="s">
        <v>204</v>
      </c>
      <c r="O38" t="b">
        <v>1</v>
      </c>
      <c r="P38">
        <v>100</v>
      </c>
    </row>
    <row r="39" spans="1:16" x14ac:dyDescent="0.25">
      <c r="A39" s="1">
        <v>37</v>
      </c>
      <c r="B39" t="s">
        <v>165</v>
      </c>
      <c r="D39">
        <v>20</v>
      </c>
      <c r="E39">
        <v>34</v>
      </c>
      <c r="F39">
        <v>32</v>
      </c>
      <c r="G39">
        <v>2.5312500000000002E-2</v>
      </c>
      <c r="H39">
        <v>0.27334375</v>
      </c>
      <c r="I39">
        <v>10</v>
      </c>
      <c r="J39">
        <v>0</v>
      </c>
      <c r="K39" s="5">
        <v>3.1</v>
      </c>
      <c r="L39">
        <v>1</v>
      </c>
      <c r="M39">
        <v>1</v>
      </c>
      <c r="N39" t="s">
        <v>204</v>
      </c>
      <c r="O39" t="b">
        <v>1</v>
      </c>
      <c r="P39">
        <v>100</v>
      </c>
    </row>
    <row r="40" spans="1:16" x14ac:dyDescent="0.25">
      <c r="A40" s="1">
        <v>38</v>
      </c>
      <c r="B40" t="s">
        <v>166</v>
      </c>
      <c r="D40">
        <v>20</v>
      </c>
      <c r="E40">
        <v>34</v>
      </c>
      <c r="F40">
        <v>32</v>
      </c>
      <c r="G40">
        <v>2.5312500000000002E-2</v>
      </c>
      <c r="H40">
        <v>0.27334375</v>
      </c>
      <c r="I40">
        <v>10</v>
      </c>
      <c r="J40">
        <v>0</v>
      </c>
      <c r="K40" s="5">
        <v>3.1</v>
      </c>
      <c r="L40">
        <v>1</v>
      </c>
      <c r="M40">
        <v>1</v>
      </c>
      <c r="N40" t="s">
        <v>204</v>
      </c>
      <c r="O40" t="b">
        <v>1</v>
      </c>
      <c r="P40">
        <v>100</v>
      </c>
    </row>
    <row r="41" spans="1:16" x14ac:dyDescent="0.25">
      <c r="A41" s="1">
        <v>39</v>
      </c>
      <c r="B41" t="s">
        <v>167</v>
      </c>
      <c r="D41">
        <v>21</v>
      </c>
      <c r="E41">
        <v>18</v>
      </c>
      <c r="F41">
        <v>1.44</v>
      </c>
      <c r="G41">
        <v>1.388888888888889E-2</v>
      </c>
      <c r="H41">
        <v>0.22916666666666671</v>
      </c>
      <c r="I41">
        <v>10</v>
      </c>
      <c r="J41">
        <v>0</v>
      </c>
      <c r="K41">
        <v>4</v>
      </c>
      <c r="L41">
        <v>1</v>
      </c>
      <c r="M41">
        <v>1</v>
      </c>
      <c r="N41" t="s">
        <v>204</v>
      </c>
      <c r="O41" t="b">
        <v>1</v>
      </c>
      <c r="P41">
        <v>100</v>
      </c>
    </row>
    <row r="42" spans="1:16" x14ac:dyDescent="0.25">
      <c r="A42" s="1">
        <v>40</v>
      </c>
      <c r="B42" t="s">
        <v>168</v>
      </c>
      <c r="D42">
        <v>21</v>
      </c>
      <c r="E42">
        <v>18</v>
      </c>
      <c r="F42">
        <v>1.44</v>
      </c>
      <c r="G42">
        <v>1.388888888888889E-2</v>
      </c>
      <c r="H42">
        <v>0.22916666666666671</v>
      </c>
      <c r="I42">
        <v>10</v>
      </c>
      <c r="J42">
        <v>0</v>
      </c>
      <c r="K42">
        <v>4</v>
      </c>
      <c r="L42">
        <v>1</v>
      </c>
      <c r="M42">
        <v>1</v>
      </c>
      <c r="N42" t="s">
        <v>204</v>
      </c>
      <c r="O42" t="b">
        <v>1</v>
      </c>
      <c r="P42">
        <v>100</v>
      </c>
    </row>
    <row r="43" spans="1:16" x14ac:dyDescent="0.25">
      <c r="A43" s="1">
        <v>41</v>
      </c>
      <c r="B43" s="16" t="s">
        <v>169</v>
      </c>
      <c r="C43" s="16"/>
      <c r="D43" s="16">
        <v>39</v>
      </c>
      <c r="E43" s="16">
        <v>23</v>
      </c>
      <c r="F43" s="16">
        <v>10</v>
      </c>
      <c r="G43" s="16">
        <f xml:space="preserve"> (0.0009*380*380)/(1000*10)</f>
        <v>1.2995999999999997E-2</v>
      </c>
      <c r="H43" s="16">
        <f>(0.03*380*380)/(1000*10)</f>
        <v>0.43319999999999997</v>
      </c>
      <c r="I43" s="16">
        <v>0</v>
      </c>
      <c r="J43" s="16">
        <v>0</v>
      </c>
      <c r="K43" s="16">
        <v>2.5</v>
      </c>
      <c r="L43" s="16">
        <v>1</v>
      </c>
      <c r="M43" s="16">
        <v>1</v>
      </c>
      <c r="N43" s="16" t="s">
        <v>204</v>
      </c>
      <c r="O43" s="16" t="b">
        <v>1</v>
      </c>
      <c r="P43" s="16">
        <v>100</v>
      </c>
    </row>
    <row r="44" spans="1:16" x14ac:dyDescent="0.25">
      <c r="A44" s="1">
        <v>42</v>
      </c>
      <c r="B44" s="16" t="s">
        <v>170</v>
      </c>
      <c r="C44" s="16"/>
      <c r="D44" s="16">
        <v>39</v>
      </c>
      <c r="E44" s="16">
        <v>23</v>
      </c>
      <c r="F44" s="16">
        <v>10</v>
      </c>
      <c r="G44" s="16">
        <f xml:space="preserve"> (0.0009*380*380)/(1000*10)</f>
        <v>1.2995999999999997E-2</v>
      </c>
      <c r="H44" s="16">
        <f>(0.03*380*380)/(1000*10)</f>
        <v>0.43319999999999997</v>
      </c>
      <c r="I44" s="16">
        <v>0</v>
      </c>
      <c r="J44" s="16">
        <v>0</v>
      </c>
      <c r="K44" s="16">
        <v>2.5</v>
      </c>
      <c r="L44" s="16">
        <v>1</v>
      </c>
      <c r="M44" s="16">
        <v>1</v>
      </c>
      <c r="N44" s="16" t="s">
        <v>204</v>
      </c>
      <c r="O44" s="16" t="b">
        <v>1</v>
      </c>
      <c r="P44" s="16">
        <v>100</v>
      </c>
    </row>
    <row r="45" spans="1:16" x14ac:dyDescent="0.25">
      <c r="A45" s="1">
        <v>43</v>
      </c>
      <c r="B45" t="s">
        <v>171</v>
      </c>
      <c r="D45">
        <v>24</v>
      </c>
      <c r="E45">
        <v>10</v>
      </c>
      <c r="F45">
        <v>20</v>
      </c>
      <c r="G45">
        <v>2.35E-2</v>
      </c>
      <c r="H45">
        <v>0.27400000000000002</v>
      </c>
      <c r="I45">
        <v>10</v>
      </c>
      <c r="J45">
        <v>0</v>
      </c>
      <c r="K45">
        <v>2.5</v>
      </c>
      <c r="L45">
        <v>1</v>
      </c>
      <c r="M45">
        <v>1</v>
      </c>
      <c r="N45" t="s">
        <v>204</v>
      </c>
      <c r="O45" t="b">
        <v>1</v>
      </c>
      <c r="P45">
        <v>100</v>
      </c>
    </row>
    <row r="46" spans="1:16" x14ac:dyDescent="0.25">
      <c r="A46" s="1">
        <v>44</v>
      </c>
      <c r="B46" t="s">
        <v>172</v>
      </c>
      <c r="D46">
        <v>24</v>
      </c>
      <c r="E46">
        <v>13</v>
      </c>
      <c r="F46">
        <v>18.5</v>
      </c>
      <c r="G46">
        <v>1.5297297297297299E-2</v>
      </c>
      <c r="H46">
        <v>0.24437837837837839</v>
      </c>
      <c r="I46">
        <v>10</v>
      </c>
      <c r="J46">
        <v>0</v>
      </c>
      <c r="K46">
        <v>4</v>
      </c>
      <c r="L46">
        <v>1</v>
      </c>
      <c r="M46">
        <v>1</v>
      </c>
      <c r="N46" t="s">
        <v>204</v>
      </c>
      <c r="O46" t="b">
        <v>1</v>
      </c>
      <c r="P46">
        <v>100</v>
      </c>
    </row>
    <row r="47" spans="1:16" x14ac:dyDescent="0.25">
      <c r="A47" s="1">
        <v>45</v>
      </c>
      <c r="B47" t="s">
        <v>173</v>
      </c>
      <c r="D47">
        <v>24</v>
      </c>
      <c r="E47">
        <v>13</v>
      </c>
      <c r="F47">
        <v>18.5</v>
      </c>
      <c r="G47">
        <v>1.5297297297297299E-2</v>
      </c>
      <c r="H47">
        <v>0.24437837837837839</v>
      </c>
      <c r="I47">
        <v>10</v>
      </c>
      <c r="J47">
        <v>0</v>
      </c>
      <c r="K47">
        <v>4</v>
      </c>
      <c r="L47">
        <v>1</v>
      </c>
      <c r="M47">
        <v>1</v>
      </c>
      <c r="N47" t="s">
        <v>204</v>
      </c>
      <c r="O47" t="b">
        <v>1</v>
      </c>
      <c r="P47">
        <v>100</v>
      </c>
    </row>
    <row r="48" spans="1:16" x14ac:dyDescent="0.25">
      <c r="A48" s="1">
        <v>46</v>
      </c>
      <c r="B48" t="s">
        <v>174</v>
      </c>
      <c r="D48">
        <v>24</v>
      </c>
      <c r="E48">
        <v>22</v>
      </c>
      <c r="F48">
        <v>34</v>
      </c>
      <c r="G48">
        <v>2.3382352941176469E-2</v>
      </c>
      <c r="H48">
        <v>0.27391176470588241</v>
      </c>
      <c r="I48">
        <v>10</v>
      </c>
      <c r="J48">
        <v>0</v>
      </c>
      <c r="K48" s="5">
        <v>3.3</v>
      </c>
      <c r="L48">
        <v>1</v>
      </c>
      <c r="M48">
        <v>1</v>
      </c>
      <c r="N48" t="s">
        <v>204</v>
      </c>
      <c r="O48" t="b">
        <v>1</v>
      </c>
      <c r="P48">
        <v>100</v>
      </c>
    </row>
    <row r="49" spans="1:16" x14ac:dyDescent="0.25">
      <c r="A49" s="1">
        <v>47</v>
      </c>
      <c r="B49" t="s">
        <v>175</v>
      </c>
      <c r="D49">
        <v>24</v>
      </c>
      <c r="E49">
        <v>22</v>
      </c>
      <c r="F49">
        <v>34</v>
      </c>
      <c r="G49">
        <v>2.3382352941176469E-2</v>
      </c>
      <c r="H49">
        <v>0.27391176470588241</v>
      </c>
      <c r="I49">
        <v>10</v>
      </c>
      <c r="J49">
        <v>0</v>
      </c>
      <c r="K49" s="5">
        <v>3.3</v>
      </c>
      <c r="L49">
        <v>1</v>
      </c>
      <c r="M49">
        <v>1</v>
      </c>
      <c r="N49" t="s">
        <v>204</v>
      </c>
      <c r="O49" t="b">
        <v>1</v>
      </c>
      <c r="P49">
        <v>100</v>
      </c>
    </row>
    <row r="50" spans="1:16" x14ac:dyDescent="0.25">
      <c r="A50" s="1">
        <v>48</v>
      </c>
      <c r="B50" t="s">
        <v>176</v>
      </c>
      <c r="D50">
        <v>25</v>
      </c>
      <c r="E50">
        <v>20</v>
      </c>
      <c r="F50">
        <v>21</v>
      </c>
      <c r="G50">
        <v>2.3428571428571431E-2</v>
      </c>
      <c r="H50">
        <v>0.2725238095238095</v>
      </c>
      <c r="I50">
        <v>10</v>
      </c>
      <c r="J50">
        <v>0</v>
      </c>
      <c r="K50">
        <v>4</v>
      </c>
      <c r="L50">
        <v>1</v>
      </c>
      <c r="M50">
        <v>1</v>
      </c>
      <c r="N50" t="s">
        <v>204</v>
      </c>
      <c r="O50" t="b">
        <v>1</v>
      </c>
      <c r="P50">
        <v>100</v>
      </c>
    </row>
    <row r="51" spans="1:16" x14ac:dyDescent="0.25">
      <c r="A51" s="1">
        <v>49</v>
      </c>
      <c r="B51" t="s">
        <v>177</v>
      </c>
      <c r="D51">
        <v>25</v>
      </c>
      <c r="E51">
        <v>20</v>
      </c>
      <c r="F51">
        <v>21</v>
      </c>
      <c r="G51">
        <v>2.3428571428571431E-2</v>
      </c>
      <c r="H51">
        <v>0.2725238095238095</v>
      </c>
      <c r="I51">
        <v>10</v>
      </c>
      <c r="J51">
        <v>0</v>
      </c>
      <c r="K51">
        <v>4</v>
      </c>
      <c r="L51">
        <v>1</v>
      </c>
      <c r="M51">
        <v>1</v>
      </c>
      <c r="N51" t="s">
        <v>204</v>
      </c>
      <c r="O51" t="b">
        <v>1</v>
      </c>
      <c r="P51">
        <v>100</v>
      </c>
    </row>
    <row r="52" spans="1:16" x14ac:dyDescent="0.25">
      <c r="A52" s="1">
        <v>50</v>
      </c>
      <c r="B52" t="s">
        <v>178</v>
      </c>
      <c r="D52">
        <v>26</v>
      </c>
      <c r="E52" s="7">
        <v>19</v>
      </c>
      <c r="F52">
        <v>48.7</v>
      </c>
      <c r="G52">
        <v>2.3264887063655031E-2</v>
      </c>
      <c r="H52">
        <v>0.27414784394250508</v>
      </c>
      <c r="I52">
        <v>10</v>
      </c>
      <c r="J52">
        <v>0</v>
      </c>
      <c r="K52" s="5">
        <v>3.3</v>
      </c>
      <c r="L52">
        <v>1</v>
      </c>
      <c r="M52">
        <v>1</v>
      </c>
      <c r="N52" t="s">
        <v>204</v>
      </c>
      <c r="O52" t="b">
        <v>1</v>
      </c>
      <c r="P52">
        <v>100</v>
      </c>
    </row>
    <row r="53" spans="1:16" x14ac:dyDescent="0.25">
      <c r="A53" s="1">
        <v>51</v>
      </c>
      <c r="B53" t="s">
        <v>179</v>
      </c>
      <c r="D53">
        <v>26</v>
      </c>
      <c r="E53" s="7">
        <v>19</v>
      </c>
      <c r="F53">
        <v>48.7</v>
      </c>
      <c r="G53">
        <v>2.3264887063655031E-2</v>
      </c>
      <c r="H53">
        <v>0.27414784394250508</v>
      </c>
      <c r="I53">
        <v>10</v>
      </c>
      <c r="J53">
        <v>0</v>
      </c>
      <c r="K53" s="5">
        <v>3.3</v>
      </c>
      <c r="L53">
        <v>1</v>
      </c>
      <c r="M53">
        <v>1</v>
      </c>
      <c r="N53" t="s">
        <v>204</v>
      </c>
      <c r="O53" t="b">
        <v>1</v>
      </c>
      <c r="P53">
        <v>100</v>
      </c>
    </row>
    <row r="54" spans="1:16" x14ac:dyDescent="0.25">
      <c r="A54" s="1">
        <v>52</v>
      </c>
      <c r="B54" s="16" t="s">
        <v>180</v>
      </c>
      <c r="C54" s="16"/>
      <c r="D54" s="16">
        <v>26</v>
      </c>
      <c r="E54" s="16">
        <v>41</v>
      </c>
      <c r="F54" s="16">
        <v>10</v>
      </c>
      <c r="G54" s="16">
        <f xml:space="preserve"> (0.0009*380*380)/(1000*10)</f>
        <v>1.2995999999999997E-2</v>
      </c>
      <c r="H54" s="16">
        <f>(0.03*380*380)/(1000*10)</f>
        <v>0.43319999999999997</v>
      </c>
      <c r="I54" s="16">
        <v>0</v>
      </c>
      <c r="J54" s="16">
        <v>0</v>
      </c>
      <c r="K54" s="16">
        <v>2.6</v>
      </c>
      <c r="L54" s="16">
        <v>1</v>
      </c>
      <c r="M54" s="16">
        <v>1</v>
      </c>
      <c r="N54" s="16" t="s">
        <v>204</v>
      </c>
      <c r="O54" s="16" t="b">
        <v>1</v>
      </c>
      <c r="P54" s="16">
        <v>100</v>
      </c>
    </row>
    <row r="55" spans="1:16" x14ac:dyDescent="0.25">
      <c r="A55" s="1">
        <v>53</v>
      </c>
      <c r="B55" s="16" t="s">
        <v>181</v>
      </c>
      <c r="C55" s="16"/>
      <c r="D55" s="16">
        <v>26</v>
      </c>
      <c r="E55" s="16">
        <v>42</v>
      </c>
      <c r="F55" s="16">
        <v>10</v>
      </c>
      <c r="G55" s="16">
        <f xml:space="preserve"> (0.0009*380*380)/(1000*10)</f>
        <v>1.2995999999999997E-2</v>
      </c>
      <c r="H55" s="16">
        <f>(0.03*380*380)/(1000*10)</f>
        <v>0.43319999999999997</v>
      </c>
      <c r="I55" s="16">
        <v>0</v>
      </c>
      <c r="J55" s="16">
        <v>0</v>
      </c>
      <c r="K55" s="16">
        <v>2.6</v>
      </c>
      <c r="L55" s="16">
        <v>1</v>
      </c>
      <c r="M55" s="16">
        <v>1</v>
      </c>
      <c r="N55" s="16" t="s">
        <v>204</v>
      </c>
      <c r="O55" s="16" t="b">
        <v>1</v>
      </c>
      <c r="P55" s="16">
        <v>100</v>
      </c>
    </row>
    <row r="56" spans="1:16" x14ac:dyDescent="0.25">
      <c r="A56" s="1">
        <v>54</v>
      </c>
      <c r="B56" s="16" t="s">
        <v>182</v>
      </c>
      <c r="C56" s="16"/>
      <c r="D56" s="16">
        <v>27</v>
      </c>
      <c r="E56" s="16">
        <v>38</v>
      </c>
      <c r="F56" s="16">
        <v>10</v>
      </c>
      <c r="G56" s="16">
        <f xml:space="preserve"> (0.0009*380*380)/(1000*10)</f>
        <v>1.2995999999999997E-2</v>
      </c>
      <c r="H56" s="16">
        <f>(0.03*380*380)/(1000*10)</f>
        <v>0.43319999999999997</v>
      </c>
      <c r="I56" s="16">
        <v>0</v>
      </c>
      <c r="J56" s="16">
        <v>0</v>
      </c>
      <c r="K56" s="16">
        <v>1.52</v>
      </c>
      <c r="L56" s="16">
        <v>1</v>
      </c>
      <c r="M56" s="16">
        <v>1</v>
      </c>
      <c r="N56" s="16" t="s">
        <v>204</v>
      </c>
      <c r="O56" s="16" t="b">
        <v>1</v>
      </c>
      <c r="P56" s="16">
        <v>100</v>
      </c>
    </row>
    <row r="57" spans="1:16" x14ac:dyDescent="0.25">
      <c r="A57" s="1">
        <v>55</v>
      </c>
      <c r="B57" s="16" t="s">
        <v>183</v>
      </c>
      <c r="C57" s="16"/>
      <c r="D57" s="16">
        <v>27</v>
      </c>
      <c r="E57" s="16">
        <v>38</v>
      </c>
      <c r="F57" s="16">
        <v>10</v>
      </c>
      <c r="G57" s="16">
        <f xml:space="preserve"> (0.0009*380*380)/(1000*10)</f>
        <v>1.2995999999999997E-2</v>
      </c>
      <c r="H57" s="16">
        <f>(0.03*380*380)/(1000*10)</f>
        <v>0.43319999999999997</v>
      </c>
      <c r="I57" s="16">
        <v>0</v>
      </c>
      <c r="J57" s="16">
        <v>0</v>
      </c>
      <c r="K57" s="16">
        <v>1.52</v>
      </c>
      <c r="L57" s="16">
        <v>1</v>
      </c>
      <c r="M57" s="16">
        <v>1</v>
      </c>
      <c r="N57" s="16" t="s">
        <v>204</v>
      </c>
      <c r="O57" s="16" t="b">
        <v>1</v>
      </c>
      <c r="P57" s="16">
        <v>100</v>
      </c>
    </row>
    <row r="58" spans="1:16" x14ac:dyDescent="0.25">
      <c r="A58" s="1">
        <v>56</v>
      </c>
      <c r="B58" t="s">
        <v>184</v>
      </c>
      <c r="D58">
        <v>28</v>
      </c>
      <c r="E58">
        <v>14</v>
      </c>
      <c r="F58">
        <v>66</v>
      </c>
      <c r="G58">
        <v>1.5384615384615391E-2</v>
      </c>
      <c r="H58">
        <v>0.24230769230769231</v>
      </c>
      <c r="I58">
        <v>10</v>
      </c>
      <c r="J58">
        <v>0</v>
      </c>
      <c r="K58">
        <v>4</v>
      </c>
      <c r="L58">
        <v>1</v>
      </c>
      <c r="M58">
        <v>1</v>
      </c>
      <c r="N58" t="s">
        <v>204</v>
      </c>
      <c r="O58" t="b">
        <v>1</v>
      </c>
      <c r="P58">
        <v>100</v>
      </c>
    </row>
    <row r="59" spans="1:16" x14ac:dyDescent="0.25">
      <c r="A59" s="1">
        <v>57</v>
      </c>
      <c r="B59" t="s">
        <v>185</v>
      </c>
      <c r="D59">
        <v>28</v>
      </c>
      <c r="E59">
        <v>14</v>
      </c>
      <c r="F59">
        <v>66</v>
      </c>
      <c r="G59">
        <v>1.5384615384615391E-2</v>
      </c>
      <c r="H59">
        <v>0.24230769230769231</v>
      </c>
      <c r="I59">
        <v>10</v>
      </c>
      <c r="J59">
        <v>0</v>
      </c>
      <c r="K59">
        <v>4</v>
      </c>
      <c r="L59">
        <v>1</v>
      </c>
      <c r="M59">
        <v>1</v>
      </c>
      <c r="N59" t="s">
        <v>204</v>
      </c>
      <c r="O59" t="b">
        <v>1</v>
      </c>
      <c r="P59">
        <v>100</v>
      </c>
    </row>
    <row r="60" spans="1:16" x14ac:dyDescent="0.25">
      <c r="A60" s="1">
        <v>58</v>
      </c>
      <c r="B60" t="s">
        <v>186</v>
      </c>
      <c r="D60">
        <v>29</v>
      </c>
      <c r="E60">
        <v>15</v>
      </c>
      <c r="F60">
        <v>15.2</v>
      </c>
      <c r="G60">
        <v>2.335526315789474E-2</v>
      </c>
      <c r="H60">
        <v>0.27374999999999999</v>
      </c>
      <c r="I60">
        <v>10</v>
      </c>
      <c r="J60">
        <v>0</v>
      </c>
      <c r="K60" s="5">
        <v>3</v>
      </c>
      <c r="L60">
        <v>1</v>
      </c>
      <c r="M60">
        <v>1</v>
      </c>
      <c r="N60" t="s">
        <v>204</v>
      </c>
      <c r="O60" t="b">
        <v>1</v>
      </c>
      <c r="P60">
        <v>100</v>
      </c>
    </row>
    <row r="61" spans="1:16" x14ac:dyDescent="0.25">
      <c r="A61" s="1">
        <v>59</v>
      </c>
      <c r="B61" s="16" t="s">
        <v>187</v>
      </c>
      <c r="C61" s="16"/>
      <c r="D61" s="16">
        <v>30</v>
      </c>
      <c r="E61" s="16">
        <v>44</v>
      </c>
      <c r="F61" s="16">
        <v>10</v>
      </c>
      <c r="G61" s="16">
        <f xml:space="preserve"> (0.0009*380*380)/(1000*10)</f>
        <v>1.2995999999999997E-2</v>
      </c>
      <c r="H61" s="16">
        <f>(0.03*380*380)/(1000*10)</f>
        <v>0.43319999999999997</v>
      </c>
      <c r="I61" s="16">
        <v>0</v>
      </c>
      <c r="J61" s="16">
        <v>0</v>
      </c>
      <c r="K61" s="16">
        <v>2.5</v>
      </c>
      <c r="L61" s="16">
        <v>1</v>
      </c>
      <c r="M61" s="16">
        <v>1</v>
      </c>
      <c r="N61" s="16" t="s">
        <v>204</v>
      </c>
      <c r="O61" s="16" t="b">
        <v>1</v>
      </c>
      <c r="P61" s="16">
        <v>100</v>
      </c>
    </row>
    <row r="62" spans="1:16" x14ac:dyDescent="0.25">
      <c r="A62" s="1">
        <v>60</v>
      </c>
      <c r="B62" s="16" t="s">
        <v>188</v>
      </c>
      <c r="C62" s="16"/>
      <c r="D62" s="16">
        <v>30</v>
      </c>
      <c r="E62" s="16">
        <v>44</v>
      </c>
      <c r="F62" s="16">
        <v>10</v>
      </c>
      <c r="G62" s="16">
        <f xml:space="preserve"> (0.0009*380*380)/(1000*10)</f>
        <v>1.2995999999999997E-2</v>
      </c>
      <c r="H62" s="16">
        <f>(0.03*380*380)/(1000*10)</f>
        <v>0.43319999999999997</v>
      </c>
      <c r="I62" s="16">
        <v>0</v>
      </c>
      <c r="J62" s="16">
        <v>0</v>
      </c>
      <c r="K62" s="16">
        <v>2.5</v>
      </c>
      <c r="L62" s="16">
        <v>1</v>
      </c>
      <c r="M62" s="16">
        <v>1</v>
      </c>
      <c r="N62" s="16" t="s">
        <v>204</v>
      </c>
      <c r="O62" s="16" t="b">
        <v>1</v>
      </c>
      <c r="P62" s="16">
        <v>100</v>
      </c>
    </row>
    <row r="63" spans="1:16" x14ac:dyDescent="0.25">
      <c r="A63" s="1">
        <v>61</v>
      </c>
      <c r="B63" s="16" t="s">
        <v>189</v>
      </c>
      <c r="C63" s="16"/>
      <c r="D63" s="16">
        <v>43</v>
      </c>
      <c r="E63" s="16">
        <v>26</v>
      </c>
      <c r="F63" s="16">
        <v>10</v>
      </c>
      <c r="G63" s="16">
        <f xml:space="preserve"> (0.0009*380*380)/(1000*10)</f>
        <v>1.2995999999999997E-2</v>
      </c>
      <c r="H63" s="16">
        <f>(0.03*380*380)/(1000*10)</f>
        <v>0.43319999999999997</v>
      </c>
      <c r="I63" s="16">
        <v>0</v>
      </c>
      <c r="J63" s="16">
        <v>0</v>
      </c>
      <c r="K63" s="16">
        <v>2.5</v>
      </c>
      <c r="L63" s="16">
        <v>1</v>
      </c>
      <c r="M63" s="16">
        <v>1</v>
      </c>
      <c r="N63" s="16" t="s">
        <v>204</v>
      </c>
      <c r="O63" s="16" t="b">
        <v>1</v>
      </c>
      <c r="P63" s="16">
        <v>100</v>
      </c>
    </row>
    <row r="64" spans="1:16" x14ac:dyDescent="0.25">
      <c r="A64" s="1">
        <v>62</v>
      </c>
      <c r="B64" s="16" t="s">
        <v>190</v>
      </c>
      <c r="C64" s="16"/>
      <c r="D64" s="16">
        <v>43</v>
      </c>
      <c r="E64" s="16">
        <v>26</v>
      </c>
      <c r="F64" s="16">
        <v>10</v>
      </c>
      <c r="G64" s="16">
        <f xml:space="preserve"> (0.0009*380*380)/(1000*10)</f>
        <v>1.2995999999999997E-2</v>
      </c>
      <c r="H64" s="16">
        <f>(0.03*380*380)/(1000*10)</f>
        <v>0.43319999999999997</v>
      </c>
      <c r="I64" s="16">
        <v>0</v>
      </c>
      <c r="J64" s="16">
        <v>0</v>
      </c>
      <c r="K64" s="16">
        <v>2.5</v>
      </c>
      <c r="L64" s="16">
        <v>1</v>
      </c>
      <c r="M64" s="16">
        <v>1</v>
      </c>
      <c r="N64" s="16" t="s">
        <v>204</v>
      </c>
      <c r="O64" s="16" t="b">
        <v>1</v>
      </c>
      <c r="P64" s="16">
        <v>100</v>
      </c>
    </row>
    <row r="65" spans="1:16" x14ac:dyDescent="0.25">
      <c r="A65" s="1">
        <v>63</v>
      </c>
      <c r="B65" t="s">
        <v>191</v>
      </c>
      <c r="D65">
        <v>33</v>
      </c>
      <c r="E65">
        <v>13</v>
      </c>
      <c r="F65">
        <v>22</v>
      </c>
      <c r="G65">
        <v>8.0000000000000002E-3</v>
      </c>
      <c r="H65">
        <v>0.16613636363636361</v>
      </c>
      <c r="I65">
        <v>10</v>
      </c>
      <c r="J65">
        <v>0</v>
      </c>
      <c r="K65">
        <v>4</v>
      </c>
      <c r="L65">
        <v>1</v>
      </c>
      <c r="M65">
        <v>1</v>
      </c>
      <c r="N65" t="s">
        <v>204</v>
      </c>
      <c r="O65" t="b">
        <v>1</v>
      </c>
      <c r="P65">
        <v>100</v>
      </c>
    </row>
    <row r="66" spans="1:16" x14ac:dyDescent="0.25">
      <c r="A66" s="1">
        <v>64</v>
      </c>
      <c r="B66" t="s">
        <v>192</v>
      </c>
      <c r="D66">
        <v>33</v>
      </c>
      <c r="E66">
        <v>13</v>
      </c>
      <c r="F66">
        <v>22</v>
      </c>
      <c r="G66">
        <v>8.0000000000000002E-3</v>
      </c>
      <c r="H66">
        <v>0.16613636363636361</v>
      </c>
      <c r="I66">
        <v>10</v>
      </c>
      <c r="J66">
        <v>0</v>
      </c>
      <c r="K66">
        <v>4</v>
      </c>
      <c r="L66">
        <v>1</v>
      </c>
      <c r="M66">
        <v>1</v>
      </c>
      <c r="N66" t="s">
        <v>204</v>
      </c>
      <c r="O66" t="b">
        <v>1</v>
      </c>
      <c r="P66">
        <v>100</v>
      </c>
    </row>
    <row r="67" spans="1:16" x14ac:dyDescent="0.25">
      <c r="A67" s="1">
        <v>65</v>
      </c>
      <c r="B67" t="s">
        <v>193</v>
      </c>
      <c r="D67">
        <v>33</v>
      </c>
      <c r="E67">
        <v>32</v>
      </c>
      <c r="F67">
        <v>6.8</v>
      </c>
      <c r="G67">
        <v>1.5147058823529409E-2</v>
      </c>
      <c r="H67">
        <v>0.24441176470588241</v>
      </c>
      <c r="I67">
        <v>10</v>
      </c>
      <c r="J67">
        <v>0</v>
      </c>
      <c r="K67">
        <v>4</v>
      </c>
      <c r="L67">
        <v>1</v>
      </c>
      <c r="M67">
        <v>1</v>
      </c>
      <c r="N67" t="s">
        <v>204</v>
      </c>
      <c r="O67" t="b">
        <v>1</v>
      </c>
      <c r="P67">
        <v>100</v>
      </c>
    </row>
    <row r="68" spans="1:16" x14ac:dyDescent="0.25">
      <c r="A68" s="1">
        <v>66</v>
      </c>
      <c r="B68" t="s">
        <v>194</v>
      </c>
      <c r="D68">
        <v>33</v>
      </c>
      <c r="E68">
        <v>32</v>
      </c>
      <c r="F68">
        <v>6.8</v>
      </c>
      <c r="G68">
        <v>1.5147058823529409E-2</v>
      </c>
      <c r="H68">
        <v>0.24441176470588241</v>
      </c>
      <c r="I68">
        <v>10</v>
      </c>
      <c r="J68">
        <v>0</v>
      </c>
      <c r="K68">
        <v>4</v>
      </c>
      <c r="L68">
        <v>1</v>
      </c>
      <c r="M68">
        <v>1</v>
      </c>
      <c r="N68" t="s">
        <v>204</v>
      </c>
      <c r="O68" t="b">
        <v>1</v>
      </c>
      <c r="P68">
        <v>100</v>
      </c>
    </row>
    <row r="69" spans="1:16" x14ac:dyDescent="0.25">
      <c r="A69" s="1">
        <v>67</v>
      </c>
      <c r="B69" t="s">
        <v>195</v>
      </c>
      <c r="D69">
        <v>34</v>
      </c>
      <c r="E69">
        <v>23</v>
      </c>
      <c r="F69">
        <v>60.3</v>
      </c>
      <c r="G69">
        <v>2.5373134328358211E-2</v>
      </c>
      <c r="H69">
        <v>0.2740630182421227</v>
      </c>
      <c r="I69">
        <v>10</v>
      </c>
      <c r="J69">
        <v>0</v>
      </c>
      <c r="K69" s="5">
        <v>3.1</v>
      </c>
      <c r="L69">
        <v>1</v>
      </c>
      <c r="M69">
        <v>1</v>
      </c>
      <c r="N69" t="s">
        <v>204</v>
      </c>
      <c r="O69" t="b">
        <v>1</v>
      </c>
      <c r="P69">
        <v>100</v>
      </c>
    </row>
    <row r="70" spans="1:16" x14ac:dyDescent="0.25">
      <c r="A70" s="1">
        <v>68</v>
      </c>
      <c r="B70" t="s">
        <v>196</v>
      </c>
      <c r="D70">
        <v>34</v>
      </c>
      <c r="E70">
        <v>23</v>
      </c>
      <c r="F70">
        <v>60.3</v>
      </c>
      <c r="G70">
        <v>2.5373134328358211E-2</v>
      </c>
      <c r="H70">
        <v>0.2740630182421227</v>
      </c>
      <c r="I70">
        <v>10</v>
      </c>
      <c r="J70">
        <v>0</v>
      </c>
      <c r="K70" s="5">
        <v>3.1</v>
      </c>
      <c r="L70">
        <v>1</v>
      </c>
      <c r="M70">
        <v>1</v>
      </c>
      <c r="N70" t="s">
        <v>204</v>
      </c>
      <c r="O70" t="b">
        <v>1</v>
      </c>
      <c r="P70">
        <v>100</v>
      </c>
    </row>
    <row r="71" spans="1:16" x14ac:dyDescent="0.25">
      <c r="A71" s="1">
        <v>69</v>
      </c>
      <c r="B71" s="16" t="s">
        <v>197</v>
      </c>
      <c r="C71" s="16"/>
      <c r="D71" s="16">
        <v>36</v>
      </c>
      <c r="E71" s="16">
        <v>21</v>
      </c>
      <c r="F71" s="16">
        <v>10</v>
      </c>
      <c r="G71" s="16">
        <f t="shared" ref="G71:G76" si="0" xml:space="preserve"> (0.0009*380*380)/(1000*10)</f>
        <v>1.2995999999999997E-2</v>
      </c>
      <c r="H71" s="16">
        <f t="shared" ref="H71:H76" si="1">(0.03*380*380)/(1000*10)</f>
        <v>0.43319999999999997</v>
      </c>
      <c r="I71" s="16">
        <v>0</v>
      </c>
      <c r="J71" s="16">
        <v>0</v>
      </c>
      <c r="K71" s="16">
        <v>4</v>
      </c>
      <c r="L71" s="16">
        <v>1</v>
      </c>
      <c r="M71" s="16">
        <v>1</v>
      </c>
      <c r="N71" s="16" t="s">
        <v>204</v>
      </c>
      <c r="O71" s="16" t="b">
        <v>1</v>
      </c>
      <c r="P71" s="16">
        <v>100</v>
      </c>
    </row>
    <row r="72" spans="1:16" x14ac:dyDescent="0.25">
      <c r="A72" s="1">
        <v>70</v>
      </c>
      <c r="B72" s="16" t="s">
        <v>198</v>
      </c>
      <c r="C72" s="16"/>
      <c r="D72" s="16">
        <v>36</v>
      </c>
      <c r="E72" s="16">
        <v>21</v>
      </c>
      <c r="F72" s="16">
        <v>10</v>
      </c>
      <c r="G72" s="16">
        <f t="shared" si="0"/>
        <v>1.2995999999999997E-2</v>
      </c>
      <c r="H72" s="16">
        <f t="shared" si="1"/>
        <v>0.43319999999999997</v>
      </c>
      <c r="I72" s="16">
        <v>0</v>
      </c>
      <c r="J72" s="16">
        <v>0</v>
      </c>
      <c r="K72" s="16">
        <v>4</v>
      </c>
      <c r="L72" s="16">
        <v>1</v>
      </c>
      <c r="M72" s="16">
        <v>1</v>
      </c>
      <c r="N72" s="16" t="s">
        <v>204</v>
      </c>
      <c r="O72" s="16" t="b">
        <v>1</v>
      </c>
      <c r="P72" s="16">
        <v>100</v>
      </c>
    </row>
    <row r="73" spans="1:16" x14ac:dyDescent="0.25">
      <c r="A73" s="1">
        <v>71</v>
      </c>
      <c r="B73" s="16" t="s">
        <v>199</v>
      </c>
      <c r="C73" s="16"/>
      <c r="D73" s="16">
        <v>37</v>
      </c>
      <c r="E73" s="16">
        <v>18</v>
      </c>
      <c r="F73" s="16">
        <v>10</v>
      </c>
      <c r="G73" s="16">
        <f t="shared" si="0"/>
        <v>1.2995999999999997E-2</v>
      </c>
      <c r="H73" s="16">
        <f t="shared" si="1"/>
        <v>0.43319999999999997</v>
      </c>
      <c r="I73" s="16">
        <v>0</v>
      </c>
      <c r="J73" s="16">
        <v>0</v>
      </c>
      <c r="K73" s="16">
        <v>4</v>
      </c>
      <c r="L73" s="16">
        <v>1</v>
      </c>
      <c r="M73" s="16">
        <v>1</v>
      </c>
      <c r="N73" s="16" t="s">
        <v>204</v>
      </c>
      <c r="O73" s="16" t="b">
        <v>1</v>
      </c>
      <c r="P73" s="16">
        <v>100</v>
      </c>
    </row>
    <row r="74" spans="1:16" x14ac:dyDescent="0.25">
      <c r="A74" s="1">
        <v>72</v>
      </c>
      <c r="B74" s="16" t="s">
        <v>200</v>
      </c>
      <c r="C74" s="16"/>
      <c r="D74" s="16">
        <v>37</v>
      </c>
      <c r="E74" s="16">
        <v>18</v>
      </c>
      <c r="F74" s="16">
        <v>10</v>
      </c>
      <c r="G74" s="16">
        <f t="shared" si="0"/>
        <v>1.2995999999999997E-2</v>
      </c>
      <c r="H74" s="16">
        <f t="shared" si="1"/>
        <v>0.43319999999999997</v>
      </c>
      <c r="I74" s="16">
        <v>0</v>
      </c>
      <c r="J74" s="16">
        <v>0</v>
      </c>
      <c r="K74" s="16">
        <v>4</v>
      </c>
      <c r="L74" s="16">
        <v>1</v>
      </c>
      <c r="M74" s="16">
        <v>1</v>
      </c>
      <c r="N74" s="16" t="s">
        <v>204</v>
      </c>
      <c r="O74" s="16" t="b">
        <v>1</v>
      </c>
      <c r="P74" s="16">
        <v>100</v>
      </c>
    </row>
    <row r="75" spans="1:16" x14ac:dyDescent="0.25">
      <c r="A75" s="1">
        <v>73</v>
      </c>
      <c r="B75" s="16" t="s">
        <v>201</v>
      </c>
      <c r="C75" s="16"/>
      <c r="D75" s="16">
        <v>35</v>
      </c>
      <c r="E75" s="16">
        <v>28</v>
      </c>
      <c r="F75" s="16">
        <v>10</v>
      </c>
      <c r="G75" s="16">
        <f t="shared" si="0"/>
        <v>1.2995999999999997E-2</v>
      </c>
      <c r="H75" s="16">
        <f t="shared" si="1"/>
        <v>0.43319999999999997</v>
      </c>
      <c r="I75" s="16">
        <v>0</v>
      </c>
      <c r="J75" s="16">
        <v>0</v>
      </c>
      <c r="K75" s="16">
        <v>4</v>
      </c>
      <c r="L75" s="16">
        <v>1</v>
      </c>
      <c r="M75" s="16">
        <v>1</v>
      </c>
      <c r="N75" s="16" t="s">
        <v>204</v>
      </c>
      <c r="O75" s="16" t="b">
        <v>1</v>
      </c>
      <c r="P75" s="16">
        <v>100</v>
      </c>
    </row>
    <row r="76" spans="1:16" x14ac:dyDescent="0.25">
      <c r="A76" s="1">
        <v>74</v>
      </c>
      <c r="B76" s="16" t="s">
        <v>202</v>
      </c>
      <c r="C76" s="16"/>
      <c r="D76" s="16">
        <v>35</v>
      </c>
      <c r="E76" s="16">
        <v>28</v>
      </c>
      <c r="F76" s="16">
        <v>10</v>
      </c>
      <c r="G76" s="16">
        <f t="shared" si="0"/>
        <v>1.2995999999999997E-2</v>
      </c>
      <c r="H76" s="16">
        <f t="shared" si="1"/>
        <v>0.43319999999999997</v>
      </c>
      <c r="I76" s="16">
        <v>0</v>
      </c>
      <c r="J76" s="16">
        <v>0</v>
      </c>
      <c r="K76" s="16">
        <v>4</v>
      </c>
      <c r="L76" s="16">
        <v>1</v>
      </c>
      <c r="M76" s="16">
        <v>1</v>
      </c>
      <c r="N76" s="16" t="s">
        <v>204</v>
      </c>
      <c r="O76" s="16" t="b">
        <v>1</v>
      </c>
      <c r="P76" s="16">
        <v>100</v>
      </c>
    </row>
    <row r="77" spans="1:16" x14ac:dyDescent="0.25">
      <c r="A77" s="4">
        <v>75</v>
      </c>
      <c r="B77" t="s">
        <v>265</v>
      </c>
      <c r="D77">
        <v>45</v>
      </c>
      <c r="E77">
        <v>21</v>
      </c>
      <c r="F77" s="8">
        <v>40.299999999999997</v>
      </c>
      <c r="G77" s="7">
        <v>0.02</v>
      </c>
      <c r="H77" s="7">
        <v>0.27</v>
      </c>
      <c r="I77">
        <v>10</v>
      </c>
      <c r="J77">
        <v>0</v>
      </c>
      <c r="K77" s="7">
        <v>3</v>
      </c>
      <c r="L77">
        <v>1</v>
      </c>
      <c r="M77">
        <v>1</v>
      </c>
      <c r="N77" t="s">
        <v>204</v>
      </c>
      <c r="O77" t="b">
        <v>1</v>
      </c>
      <c r="P77">
        <v>100</v>
      </c>
    </row>
    <row r="78" spans="1:16" x14ac:dyDescent="0.25">
      <c r="A78" s="4">
        <v>76</v>
      </c>
      <c r="B78" t="s">
        <v>266</v>
      </c>
      <c r="D78">
        <v>45</v>
      </c>
      <c r="E78">
        <v>21</v>
      </c>
      <c r="F78" s="8">
        <v>40.299999999999997</v>
      </c>
      <c r="G78" s="7">
        <v>0.02</v>
      </c>
      <c r="H78" s="7">
        <v>0.27</v>
      </c>
      <c r="I78">
        <v>10</v>
      </c>
      <c r="J78">
        <v>0</v>
      </c>
      <c r="K78" s="7">
        <v>3</v>
      </c>
      <c r="L78">
        <v>1</v>
      </c>
      <c r="M78">
        <v>1</v>
      </c>
      <c r="N78" t="s">
        <v>204</v>
      </c>
      <c r="O78" t="b">
        <v>1</v>
      </c>
      <c r="P78">
        <v>100</v>
      </c>
    </row>
    <row r="79" spans="1:16" x14ac:dyDescent="0.25">
      <c r="A79" s="4">
        <v>77</v>
      </c>
      <c r="B79" t="s">
        <v>267</v>
      </c>
      <c r="D79">
        <v>11</v>
      </c>
      <c r="E79">
        <v>30</v>
      </c>
      <c r="F79" s="8">
        <v>38.799999999999997</v>
      </c>
      <c r="G79" s="7">
        <v>0.02</v>
      </c>
      <c r="H79" s="7">
        <v>0.27</v>
      </c>
      <c r="I79">
        <v>10</v>
      </c>
      <c r="J79">
        <v>0</v>
      </c>
      <c r="K79" s="7">
        <v>3</v>
      </c>
      <c r="L79">
        <v>1</v>
      </c>
      <c r="M79">
        <v>1</v>
      </c>
      <c r="N79" t="s">
        <v>204</v>
      </c>
      <c r="O79" t="b">
        <v>1</v>
      </c>
      <c r="P79">
        <v>100</v>
      </c>
    </row>
    <row r="80" spans="1:16" x14ac:dyDescent="0.25">
      <c r="A80" s="4">
        <v>78</v>
      </c>
      <c r="B80" t="s">
        <v>268</v>
      </c>
      <c r="D80">
        <v>11</v>
      </c>
      <c r="E80">
        <v>30</v>
      </c>
      <c r="F80" s="8">
        <v>38.799999999999997</v>
      </c>
      <c r="G80" s="7">
        <v>0.02</v>
      </c>
      <c r="H80" s="7">
        <v>0.27</v>
      </c>
      <c r="I80">
        <v>10</v>
      </c>
      <c r="J80">
        <v>0</v>
      </c>
      <c r="K80" s="7">
        <v>3</v>
      </c>
      <c r="L80">
        <v>1</v>
      </c>
      <c r="M80">
        <v>1</v>
      </c>
      <c r="N80" t="s">
        <v>204</v>
      </c>
      <c r="O80" t="b">
        <v>1</v>
      </c>
      <c r="P80">
        <v>100</v>
      </c>
    </row>
    <row r="81" spans="1:16" x14ac:dyDescent="0.25">
      <c r="A81" s="4">
        <v>79</v>
      </c>
      <c r="B81" t="s">
        <v>269</v>
      </c>
      <c r="D81">
        <v>24</v>
      </c>
      <c r="E81">
        <v>15</v>
      </c>
      <c r="F81" s="5">
        <v>58.098999999999997</v>
      </c>
      <c r="G81" s="5">
        <f>1.36/F81</f>
        <v>2.3408320280899845E-2</v>
      </c>
      <c r="H81" s="5">
        <f>15.904/F81</f>
        <v>0.27373965128487582</v>
      </c>
      <c r="I81">
        <v>10</v>
      </c>
      <c r="J81">
        <v>0</v>
      </c>
      <c r="K81" s="5">
        <v>2.5</v>
      </c>
      <c r="L81">
        <v>1</v>
      </c>
      <c r="M81">
        <v>1</v>
      </c>
      <c r="N81" t="s">
        <v>204</v>
      </c>
      <c r="O81" t="b">
        <v>1</v>
      </c>
      <c r="P81">
        <v>100</v>
      </c>
    </row>
    <row r="82" spans="1:16" x14ac:dyDescent="0.25">
      <c r="A82" s="4">
        <v>80</v>
      </c>
      <c r="B82" t="s">
        <v>270</v>
      </c>
      <c r="D82">
        <v>15</v>
      </c>
      <c r="E82">
        <v>29</v>
      </c>
      <c r="F82" s="5">
        <v>15.451000000000001</v>
      </c>
      <c r="G82" s="5">
        <f>0.362/F82</f>
        <v>2.3428904278040254E-2</v>
      </c>
      <c r="H82" s="5">
        <f>4.23/F82</f>
        <v>0.27376868811080191</v>
      </c>
      <c r="I82">
        <v>10</v>
      </c>
      <c r="J82">
        <v>0</v>
      </c>
      <c r="K82" s="5">
        <v>3</v>
      </c>
      <c r="L82">
        <v>1</v>
      </c>
      <c r="M82">
        <v>1</v>
      </c>
      <c r="N82" t="s">
        <v>204</v>
      </c>
      <c r="O82" t="b">
        <v>1</v>
      </c>
      <c r="P82">
        <v>100</v>
      </c>
    </row>
    <row r="83" spans="1:16" x14ac:dyDescent="0.25">
      <c r="A83" s="4">
        <v>81</v>
      </c>
      <c r="B83" s="20" t="s">
        <v>463</v>
      </c>
      <c r="D83" s="20">
        <v>30</v>
      </c>
      <c r="E83">
        <v>46</v>
      </c>
      <c r="F83" s="8">
        <v>77.7</v>
      </c>
      <c r="G83" s="7">
        <v>0.02</v>
      </c>
      <c r="H83" s="7">
        <v>0.27</v>
      </c>
      <c r="I83">
        <v>10</v>
      </c>
      <c r="J83">
        <v>0</v>
      </c>
      <c r="K83" s="7">
        <v>3</v>
      </c>
      <c r="L83">
        <v>1</v>
      </c>
      <c r="M83">
        <v>1</v>
      </c>
      <c r="N83" t="s">
        <v>204</v>
      </c>
      <c r="O83" t="b">
        <v>1</v>
      </c>
      <c r="P83">
        <v>100</v>
      </c>
    </row>
    <row r="84" spans="1:16" x14ac:dyDescent="0.25">
      <c r="A84" s="4">
        <v>82</v>
      </c>
      <c r="B84" s="20" t="s">
        <v>464</v>
      </c>
      <c r="D84" s="20">
        <v>30</v>
      </c>
      <c r="E84">
        <v>46</v>
      </c>
      <c r="F84" s="8">
        <v>77.7</v>
      </c>
      <c r="G84" s="7">
        <v>0.02</v>
      </c>
      <c r="H84" s="7">
        <v>0.27</v>
      </c>
      <c r="I84">
        <v>10</v>
      </c>
      <c r="J84">
        <v>0</v>
      </c>
      <c r="K84" s="7">
        <v>3</v>
      </c>
      <c r="L84">
        <v>1</v>
      </c>
      <c r="M84">
        <v>1</v>
      </c>
      <c r="N84" t="s">
        <v>204</v>
      </c>
      <c r="O84" t="b">
        <v>1</v>
      </c>
      <c r="P84">
        <v>100</v>
      </c>
    </row>
    <row r="85" spans="1:16" x14ac:dyDescent="0.25">
      <c r="A85" s="4">
        <v>83</v>
      </c>
      <c r="B85" s="20" t="s">
        <v>465</v>
      </c>
      <c r="D85">
        <v>22</v>
      </c>
      <c r="E85" s="20">
        <v>50</v>
      </c>
      <c r="F85" s="8">
        <v>47.1</v>
      </c>
      <c r="G85">
        <v>2.4575163398692808E-2</v>
      </c>
      <c r="H85">
        <v>0.27776143790849672</v>
      </c>
      <c r="I85">
        <v>10</v>
      </c>
      <c r="J85">
        <v>0</v>
      </c>
      <c r="K85" s="5">
        <v>3.1</v>
      </c>
      <c r="L85">
        <v>1</v>
      </c>
      <c r="M85">
        <v>1</v>
      </c>
      <c r="N85" t="s">
        <v>204</v>
      </c>
      <c r="O85" t="b">
        <v>1</v>
      </c>
      <c r="P85">
        <v>100</v>
      </c>
    </row>
    <row r="86" spans="1:16" x14ac:dyDescent="0.25">
      <c r="A86" s="4">
        <v>84</v>
      </c>
      <c r="B86" s="20" t="s">
        <v>466</v>
      </c>
      <c r="D86">
        <v>22</v>
      </c>
      <c r="E86" s="20">
        <v>50</v>
      </c>
      <c r="F86" s="8">
        <v>47.1</v>
      </c>
      <c r="G86">
        <v>2.4575163398692808E-2</v>
      </c>
      <c r="H86">
        <v>0.27776143790849672</v>
      </c>
      <c r="I86">
        <v>10</v>
      </c>
      <c r="J86">
        <v>0</v>
      </c>
      <c r="K86" s="5">
        <v>3.1</v>
      </c>
      <c r="L86">
        <v>1</v>
      </c>
      <c r="M86">
        <v>1</v>
      </c>
      <c r="N86" t="s">
        <v>204</v>
      </c>
      <c r="O86" t="b">
        <v>1</v>
      </c>
      <c r="P86">
        <v>100</v>
      </c>
    </row>
    <row r="87" spans="1:16" x14ac:dyDescent="0.25">
      <c r="A87" s="4">
        <v>85</v>
      </c>
      <c r="B87" s="20" t="s">
        <v>271</v>
      </c>
      <c r="D87">
        <v>50</v>
      </c>
      <c r="E87">
        <v>30</v>
      </c>
      <c r="F87" s="8">
        <v>13.2</v>
      </c>
      <c r="G87">
        <v>2.4575163398692808E-2</v>
      </c>
      <c r="H87">
        <v>0.27776143790849672</v>
      </c>
      <c r="I87">
        <v>10</v>
      </c>
      <c r="J87">
        <v>0</v>
      </c>
      <c r="K87" s="5">
        <v>3.1</v>
      </c>
      <c r="L87">
        <v>1</v>
      </c>
      <c r="M87">
        <v>1</v>
      </c>
      <c r="N87" t="s">
        <v>204</v>
      </c>
      <c r="O87" t="b">
        <v>1</v>
      </c>
      <c r="P87">
        <v>100</v>
      </c>
    </row>
    <row r="88" spans="1:16" x14ac:dyDescent="0.25">
      <c r="A88" s="4">
        <v>86</v>
      </c>
      <c r="B88" s="20" t="s">
        <v>272</v>
      </c>
      <c r="D88">
        <v>50</v>
      </c>
      <c r="E88">
        <v>30</v>
      </c>
      <c r="F88" s="8">
        <v>13.2</v>
      </c>
      <c r="G88">
        <v>2.4575163398692808E-2</v>
      </c>
      <c r="H88">
        <v>0.27776143790849672</v>
      </c>
      <c r="I88">
        <v>10</v>
      </c>
      <c r="J88">
        <v>0</v>
      </c>
      <c r="K88" s="5">
        <v>3.1</v>
      </c>
      <c r="L88">
        <v>1</v>
      </c>
      <c r="M88">
        <v>1</v>
      </c>
      <c r="N88" t="s">
        <v>204</v>
      </c>
      <c r="O88" t="b">
        <v>1</v>
      </c>
      <c r="P88">
        <v>100</v>
      </c>
    </row>
    <row r="89" spans="1:16" x14ac:dyDescent="0.25">
      <c r="A89" s="4">
        <v>87</v>
      </c>
      <c r="B89" t="s">
        <v>273</v>
      </c>
      <c r="D89">
        <v>22</v>
      </c>
      <c r="E89">
        <v>46</v>
      </c>
      <c r="F89" s="8">
        <v>21.7</v>
      </c>
      <c r="G89">
        <v>2.3004694835680749E-2</v>
      </c>
      <c r="H89">
        <v>0.29774647887323952</v>
      </c>
      <c r="I89">
        <v>10</v>
      </c>
      <c r="J89">
        <v>0</v>
      </c>
      <c r="K89" s="5">
        <v>3.1</v>
      </c>
      <c r="L89">
        <v>1</v>
      </c>
      <c r="M89">
        <v>1</v>
      </c>
      <c r="N89" t="s">
        <v>204</v>
      </c>
      <c r="O89" t="b">
        <v>1</v>
      </c>
      <c r="P89">
        <v>100</v>
      </c>
    </row>
    <row r="90" spans="1:16" x14ac:dyDescent="0.25">
      <c r="A90" s="4">
        <v>88</v>
      </c>
      <c r="B90" t="s">
        <v>274</v>
      </c>
      <c r="D90">
        <v>22</v>
      </c>
      <c r="E90">
        <v>46</v>
      </c>
      <c r="F90" s="8">
        <v>21.7</v>
      </c>
      <c r="G90">
        <v>2.3004694835680749E-2</v>
      </c>
      <c r="H90">
        <v>0.29774647887323952</v>
      </c>
      <c r="I90">
        <v>10</v>
      </c>
      <c r="J90">
        <v>0</v>
      </c>
      <c r="K90" s="5">
        <v>2.5</v>
      </c>
      <c r="L90">
        <v>1</v>
      </c>
      <c r="M90">
        <v>1</v>
      </c>
      <c r="N90" t="s">
        <v>204</v>
      </c>
      <c r="O90" t="b">
        <v>1</v>
      </c>
      <c r="P90">
        <v>100</v>
      </c>
    </row>
    <row r="91" spans="1:16" x14ac:dyDescent="0.25">
      <c r="A91" s="4">
        <v>89</v>
      </c>
      <c r="B91" t="s">
        <v>275</v>
      </c>
      <c r="D91">
        <v>22</v>
      </c>
      <c r="E91">
        <v>46</v>
      </c>
      <c r="F91" s="8">
        <v>21.7</v>
      </c>
      <c r="G91">
        <v>2.3004694835680749E-2</v>
      </c>
      <c r="H91">
        <v>0.29774647887323952</v>
      </c>
      <c r="I91">
        <v>10</v>
      </c>
      <c r="J91">
        <v>0</v>
      </c>
      <c r="K91" s="5">
        <v>3.1</v>
      </c>
      <c r="L91">
        <v>1</v>
      </c>
      <c r="M91">
        <v>1</v>
      </c>
      <c r="N91" t="s">
        <v>204</v>
      </c>
      <c r="O91" t="b">
        <v>1</v>
      </c>
      <c r="P91">
        <v>100</v>
      </c>
    </row>
    <row r="92" spans="1:16" x14ac:dyDescent="0.25">
      <c r="A92" s="4">
        <v>90</v>
      </c>
      <c r="B92" t="s">
        <v>276</v>
      </c>
      <c r="D92">
        <v>46</v>
      </c>
      <c r="E92" s="7">
        <v>19</v>
      </c>
      <c r="F92" s="8">
        <v>43.5</v>
      </c>
      <c r="G92">
        <v>2.3004694835680749E-2</v>
      </c>
      <c r="H92">
        <v>0.29774647887323952</v>
      </c>
      <c r="I92">
        <v>10</v>
      </c>
      <c r="J92">
        <v>0</v>
      </c>
      <c r="K92" s="5">
        <v>3.1</v>
      </c>
      <c r="L92">
        <v>1</v>
      </c>
      <c r="M92">
        <v>1</v>
      </c>
      <c r="N92" t="s">
        <v>204</v>
      </c>
      <c r="O92" t="b">
        <v>1</v>
      </c>
      <c r="P92">
        <v>100</v>
      </c>
    </row>
    <row r="93" spans="1:16" x14ac:dyDescent="0.25">
      <c r="A93" s="4">
        <v>91</v>
      </c>
      <c r="B93" t="s">
        <v>277</v>
      </c>
      <c r="D93">
        <v>46</v>
      </c>
      <c r="E93" s="7">
        <v>19</v>
      </c>
      <c r="F93" s="8">
        <v>43.5</v>
      </c>
      <c r="G93">
        <v>2.3004694835680749E-2</v>
      </c>
      <c r="H93">
        <v>0.29774647887323952</v>
      </c>
      <c r="I93">
        <v>10</v>
      </c>
      <c r="J93">
        <v>0</v>
      </c>
      <c r="K93" s="5">
        <v>2.5</v>
      </c>
      <c r="L93">
        <v>1</v>
      </c>
      <c r="M93">
        <v>1</v>
      </c>
      <c r="N93" t="s">
        <v>204</v>
      </c>
      <c r="O93" t="b">
        <v>1</v>
      </c>
      <c r="P93">
        <v>100</v>
      </c>
    </row>
    <row r="94" spans="1:16" x14ac:dyDescent="0.25">
      <c r="A94" s="4">
        <v>92</v>
      </c>
      <c r="B94" t="s">
        <v>278</v>
      </c>
      <c r="D94">
        <v>46</v>
      </c>
      <c r="E94" s="7">
        <v>19</v>
      </c>
      <c r="F94" s="8">
        <v>43.5</v>
      </c>
      <c r="G94">
        <v>2.3004694835680749E-2</v>
      </c>
      <c r="H94">
        <v>0.29774647887323952</v>
      </c>
      <c r="I94">
        <v>10</v>
      </c>
      <c r="J94">
        <v>0</v>
      </c>
      <c r="K94" s="5">
        <v>3.1</v>
      </c>
      <c r="L94">
        <v>1</v>
      </c>
      <c r="M94">
        <v>1</v>
      </c>
      <c r="N94" t="s">
        <v>204</v>
      </c>
      <c r="O94" t="b">
        <v>1</v>
      </c>
      <c r="P94">
        <v>100</v>
      </c>
    </row>
    <row r="95" spans="1:16" x14ac:dyDescent="0.25">
      <c r="A95" s="4">
        <v>93</v>
      </c>
      <c r="B95" t="s">
        <v>302</v>
      </c>
      <c r="D95">
        <v>32</v>
      </c>
      <c r="E95">
        <v>51</v>
      </c>
      <c r="F95" s="8">
        <v>9</v>
      </c>
      <c r="G95">
        <v>1.463390759592796E-2</v>
      </c>
      <c r="H95">
        <v>0.5886354737666406</v>
      </c>
      <c r="I95">
        <v>10</v>
      </c>
      <c r="J95">
        <v>0</v>
      </c>
      <c r="K95">
        <v>4</v>
      </c>
      <c r="L95">
        <v>1</v>
      </c>
      <c r="M95">
        <v>1</v>
      </c>
      <c r="N95" t="s">
        <v>204</v>
      </c>
      <c r="O95" t="b">
        <v>1</v>
      </c>
      <c r="P95">
        <v>100</v>
      </c>
    </row>
    <row r="96" spans="1:16" x14ac:dyDescent="0.25">
      <c r="A96" s="4">
        <v>94</v>
      </c>
      <c r="B96" t="s">
        <v>279</v>
      </c>
      <c r="D96">
        <v>32</v>
      </c>
      <c r="E96">
        <v>51</v>
      </c>
      <c r="F96" s="8">
        <v>9</v>
      </c>
      <c r="G96">
        <v>1.463390759592796E-2</v>
      </c>
      <c r="H96">
        <v>0.5886354737666406</v>
      </c>
      <c r="I96">
        <v>10</v>
      </c>
      <c r="J96">
        <v>0</v>
      </c>
      <c r="K96">
        <v>4</v>
      </c>
      <c r="L96">
        <v>1</v>
      </c>
      <c r="M96">
        <v>1</v>
      </c>
      <c r="N96" t="s">
        <v>204</v>
      </c>
      <c r="O96" t="b">
        <v>1</v>
      </c>
      <c r="P96">
        <v>100</v>
      </c>
    </row>
    <row r="97" spans="1:16" x14ac:dyDescent="0.25">
      <c r="A97" s="4">
        <v>95</v>
      </c>
      <c r="B97" t="s">
        <v>280</v>
      </c>
      <c r="D97">
        <v>51</v>
      </c>
      <c r="E97">
        <v>28</v>
      </c>
      <c r="F97" s="8">
        <v>11.4</v>
      </c>
      <c r="G97">
        <v>1.463390759592796E-2</v>
      </c>
      <c r="H97">
        <v>0.5886354737666406</v>
      </c>
      <c r="I97">
        <v>10</v>
      </c>
      <c r="J97">
        <v>0</v>
      </c>
      <c r="K97">
        <v>4</v>
      </c>
      <c r="L97">
        <v>1</v>
      </c>
      <c r="M97">
        <v>1</v>
      </c>
      <c r="N97" t="s">
        <v>204</v>
      </c>
      <c r="O97" t="b">
        <v>1</v>
      </c>
      <c r="P97">
        <v>100</v>
      </c>
    </row>
    <row r="98" spans="1:16" x14ac:dyDescent="0.25">
      <c r="A98" s="4">
        <v>96</v>
      </c>
      <c r="B98" t="s">
        <v>281</v>
      </c>
      <c r="D98">
        <v>51</v>
      </c>
      <c r="E98">
        <v>28</v>
      </c>
      <c r="F98" s="8">
        <v>11.4</v>
      </c>
      <c r="G98">
        <v>1.463390759592796E-2</v>
      </c>
      <c r="H98">
        <v>0.5886354737666406</v>
      </c>
      <c r="I98">
        <v>10</v>
      </c>
      <c r="J98">
        <v>0</v>
      </c>
      <c r="K98">
        <v>4</v>
      </c>
      <c r="L98">
        <v>1</v>
      </c>
      <c r="M98">
        <v>1</v>
      </c>
      <c r="N98" t="s">
        <v>204</v>
      </c>
      <c r="O98" t="b">
        <v>1</v>
      </c>
      <c r="P98">
        <v>100</v>
      </c>
    </row>
    <row r="99" spans="1:16" x14ac:dyDescent="0.25">
      <c r="A99" s="4">
        <v>97</v>
      </c>
      <c r="B99" t="s">
        <v>282</v>
      </c>
      <c r="D99">
        <v>26</v>
      </c>
      <c r="E99">
        <v>48</v>
      </c>
      <c r="F99" s="8">
        <v>83</v>
      </c>
      <c r="G99">
        <v>2.3253012048192769E-2</v>
      </c>
      <c r="H99">
        <v>0.27390562248995992</v>
      </c>
      <c r="I99">
        <v>10</v>
      </c>
      <c r="J99">
        <v>0</v>
      </c>
      <c r="K99">
        <v>2.5</v>
      </c>
      <c r="L99">
        <v>1</v>
      </c>
      <c r="M99">
        <v>1</v>
      </c>
      <c r="N99" t="s">
        <v>204</v>
      </c>
      <c r="O99" t="b">
        <v>1</v>
      </c>
      <c r="P99">
        <v>100</v>
      </c>
    </row>
    <row r="100" spans="1:16" x14ac:dyDescent="0.25">
      <c r="A100" s="4">
        <v>98</v>
      </c>
      <c r="B100" t="s">
        <v>283</v>
      </c>
      <c r="D100">
        <v>26</v>
      </c>
      <c r="E100">
        <v>48</v>
      </c>
      <c r="F100" s="8">
        <v>83</v>
      </c>
      <c r="G100">
        <v>2.3253012048192769E-2</v>
      </c>
      <c r="H100">
        <v>0.27390562248995992</v>
      </c>
      <c r="I100">
        <v>10</v>
      </c>
      <c r="J100">
        <v>0</v>
      </c>
      <c r="K100">
        <v>2.5</v>
      </c>
      <c r="L100">
        <v>1</v>
      </c>
      <c r="M100">
        <v>1</v>
      </c>
      <c r="N100" t="s">
        <v>204</v>
      </c>
      <c r="O100" t="b">
        <v>1</v>
      </c>
      <c r="P100">
        <v>100</v>
      </c>
    </row>
    <row r="101" spans="1:16" x14ac:dyDescent="0.25">
      <c r="A101" s="4">
        <v>99</v>
      </c>
      <c r="B101" t="s">
        <v>284</v>
      </c>
      <c r="D101">
        <v>48</v>
      </c>
      <c r="E101">
        <v>16</v>
      </c>
      <c r="F101" s="8">
        <v>17</v>
      </c>
      <c r="G101">
        <v>2.3253012048192769E-2</v>
      </c>
      <c r="H101">
        <v>0.27390562248995992</v>
      </c>
      <c r="I101">
        <v>10</v>
      </c>
      <c r="J101">
        <v>0</v>
      </c>
      <c r="K101">
        <v>2.5</v>
      </c>
      <c r="L101">
        <v>1</v>
      </c>
      <c r="M101">
        <v>1</v>
      </c>
      <c r="N101" t="s">
        <v>204</v>
      </c>
      <c r="O101" t="b">
        <v>1</v>
      </c>
      <c r="P101">
        <v>100</v>
      </c>
    </row>
    <row r="102" spans="1:16" x14ac:dyDescent="0.25">
      <c r="A102" s="4">
        <v>100</v>
      </c>
      <c r="B102" t="s">
        <v>285</v>
      </c>
      <c r="D102">
        <v>48</v>
      </c>
      <c r="E102">
        <v>16</v>
      </c>
      <c r="F102" s="8">
        <v>17</v>
      </c>
      <c r="G102">
        <v>2.3253012048192769E-2</v>
      </c>
      <c r="H102">
        <v>0.27390562248995992</v>
      </c>
      <c r="I102">
        <v>10</v>
      </c>
      <c r="J102">
        <v>0</v>
      </c>
      <c r="K102">
        <v>2.5</v>
      </c>
      <c r="L102">
        <v>1</v>
      </c>
      <c r="M102">
        <v>1</v>
      </c>
      <c r="N102" t="s">
        <v>204</v>
      </c>
      <c r="O102" t="b">
        <v>1</v>
      </c>
      <c r="P102">
        <v>100</v>
      </c>
    </row>
    <row r="103" spans="1:16" x14ac:dyDescent="0.25">
      <c r="A103" s="4">
        <v>101</v>
      </c>
      <c r="B103" t="s">
        <v>286</v>
      </c>
      <c r="D103">
        <v>15</v>
      </c>
      <c r="E103">
        <v>49</v>
      </c>
      <c r="F103" s="8">
        <v>20.9</v>
      </c>
      <c r="G103" s="7">
        <v>0.02</v>
      </c>
      <c r="H103" s="7">
        <v>0.27</v>
      </c>
      <c r="I103">
        <v>10</v>
      </c>
      <c r="J103">
        <v>0</v>
      </c>
      <c r="K103" s="7">
        <v>3</v>
      </c>
      <c r="L103">
        <v>1</v>
      </c>
      <c r="M103">
        <v>1</v>
      </c>
      <c r="N103" t="s">
        <v>204</v>
      </c>
      <c r="O103" t="b">
        <v>1</v>
      </c>
      <c r="P103">
        <v>100</v>
      </c>
    </row>
    <row r="104" spans="1:16" x14ac:dyDescent="0.25">
      <c r="A104" s="4">
        <v>102</v>
      </c>
      <c r="B104" t="s">
        <v>287</v>
      </c>
      <c r="D104">
        <v>15</v>
      </c>
      <c r="E104">
        <v>49</v>
      </c>
      <c r="F104" s="8">
        <v>20.9</v>
      </c>
      <c r="G104" s="7">
        <v>0.02</v>
      </c>
      <c r="H104" s="7">
        <v>0.27</v>
      </c>
      <c r="I104">
        <v>10</v>
      </c>
      <c r="J104">
        <v>0</v>
      </c>
      <c r="K104" s="7">
        <v>3</v>
      </c>
      <c r="L104">
        <v>1</v>
      </c>
      <c r="M104">
        <v>1</v>
      </c>
      <c r="N104" t="s">
        <v>204</v>
      </c>
      <c r="O104" t="b">
        <v>1</v>
      </c>
      <c r="P104">
        <v>100</v>
      </c>
    </row>
    <row r="105" spans="1:16" x14ac:dyDescent="0.25">
      <c r="A105" s="4">
        <v>103</v>
      </c>
      <c r="B105" t="s">
        <v>288</v>
      </c>
      <c r="D105">
        <v>15</v>
      </c>
      <c r="E105">
        <v>49</v>
      </c>
      <c r="F105" s="8">
        <v>20.9</v>
      </c>
      <c r="G105">
        <v>2.3412698412698409E-2</v>
      </c>
      <c r="H105">
        <v>0.27210317460317462</v>
      </c>
      <c r="I105">
        <v>10</v>
      </c>
      <c r="J105">
        <v>0</v>
      </c>
      <c r="K105" s="5">
        <v>4</v>
      </c>
      <c r="L105">
        <v>1</v>
      </c>
      <c r="M105">
        <v>1</v>
      </c>
      <c r="N105" t="s">
        <v>204</v>
      </c>
      <c r="O105" t="b">
        <v>1</v>
      </c>
      <c r="P105">
        <v>100</v>
      </c>
    </row>
    <row r="106" spans="1:16" x14ac:dyDescent="0.25">
      <c r="A106" s="4">
        <v>104</v>
      </c>
      <c r="B106" t="s">
        <v>289</v>
      </c>
      <c r="D106">
        <v>15</v>
      </c>
      <c r="E106">
        <v>49</v>
      </c>
      <c r="F106" s="8">
        <v>20.9</v>
      </c>
      <c r="G106">
        <v>2.3412698412698409E-2</v>
      </c>
      <c r="H106">
        <v>0.27210317460317462</v>
      </c>
      <c r="I106">
        <v>10</v>
      </c>
      <c r="J106">
        <v>0</v>
      </c>
      <c r="K106" s="5">
        <v>3.1</v>
      </c>
      <c r="L106">
        <v>1</v>
      </c>
      <c r="M106">
        <v>1</v>
      </c>
      <c r="N106" t="s">
        <v>204</v>
      </c>
      <c r="O106" t="b">
        <v>1</v>
      </c>
      <c r="P106">
        <v>100</v>
      </c>
    </row>
    <row r="107" spans="1:16" x14ac:dyDescent="0.25">
      <c r="A107" s="4">
        <v>105</v>
      </c>
      <c r="B107" t="s">
        <v>303</v>
      </c>
      <c r="D107">
        <v>49</v>
      </c>
      <c r="E107">
        <v>25</v>
      </c>
      <c r="F107" s="8">
        <v>34.299999999999997</v>
      </c>
      <c r="G107" s="7">
        <v>0.02</v>
      </c>
      <c r="H107" s="7">
        <v>0.27</v>
      </c>
      <c r="I107">
        <v>10</v>
      </c>
      <c r="J107">
        <v>0</v>
      </c>
      <c r="K107" s="7">
        <v>3</v>
      </c>
      <c r="L107">
        <v>1</v>
      </c>
      <c r="M107">
        <v>1</v>
      </c>
      <c r="N107" t="s">
        <v>204</v>
      </c>
      <c r="O107" t="b">
        <v>1</v>
      </c>
      <c r="P107">
        <v>100</v>
      </c>
    </row>
    <row r="108" spans="1:16" x14ac:dyDescent="0.25">
      <c r="A108" s="4">
        <v>106</v>
      </c>
      <c r="B108" t="s">
        <v>304</v>
      </c>
      <c r="D108">
        <v>49</v>
      </c>
      <c r="E108">
        <v>25</v>
      </c>
      <c r="F108" s="8">
        <v>34.299999999999997</v>
      </c>
      <c r="G108" s="7">
        <v>0.02</v>
      </c>
      <c r="H108" s="7">
        <v>0.27</v>
      </c>
      <c r="I108">
        <v>10</v>
      </c>
      <c r="J108">
        <v>0</v>
      </c>
      <c r="K108" s="7">
        <v>3</v>
      </c>
      <c r="L108">
        <v>1</v>
      </c>
      <c r="M108">
        <v>1</v>
      </c>
      <c r="N108" t="s">
        <v>204</v>
      </c>
      <c r="O108" t="b">
        <v>1</v>
      </c>
      <c r="P108">
        <v>100</v>
      </c>
    </row>
    <row r="109" spans="1:16" x14ac:dyDescent="0.25">
      <c r="A109" s="4">
        <v>107</v>
      </c>
      <c r="B109" t="s">
        <v>305</v>
      </c>
      <c r="D109">
        <v>49</v>
      </c>
      <c r="E109">
        <v>25</v>
      </c>
      <c r="F109" s="8">
        <v>34.299999999999997</v>
      </c>
      <c r="G109">
        <v>2.3412698412698409E-2</v>
      </c>
      <c r="H109">
        <v>0.27210317460317462</v>
      </c>
      <c r="I109">
        <v>10</v>
      </c>
      <c r="J109">
        <v>0</v>
      </c>
      <c r="K109" s="5">
        <v>4</v>
      </c>
      <c r="L109">
        <v>1</v>
      </c>
      <c r="M109">
        <v>1</v>
      </c>
      <c r="N109" t="s">
        <v>204</v>
      </c>
      <c r="O109" t="b">
        <v>1</v>
      </c>
      <c r="P109">
        <v>100</v>
      </c>
    </row>
    <row r="110" spans="1:16" x14ac:dyDescent="0.25">
      <c r="A110" s="4">
        <v>108</v>
      </c>
      <c r="B110" t="s">
        <v>306</v>
      </c>
      <c r="D110">
        <v>49</v>
      </c>
      <c r="E110">
        <v>25</v>
      </c>
      <c r="F110" s="8">
        <v>34.299999999999997</v>
      </c>
      <c r="G110">
        <v>2.3412698412698409E-2</v>
      </c>
      <c r="H110">
        <v>0.27210317460317462</v>
      </c>
      <c r="I110">
        <v>10</v>
      </c>
      <c r="J110">
        <v>0</v>
      </c>
      <c r="K110" s="5">
        <v>3.1</v>
      </c>
      <c r="L110">
        <v>1</v>
      </c>
      <c r="M110">
        <v>1</v>
      </c>
      <c r="N110" t="s">
        <v>204</v>
      </c>
      <c r="O110" t="b">
        <v>1</v>
      </c>
      <c r="P110">
        <v>100</v>
      </c>
    </row>
    <row r="111" spans="1:16" x14ac:dyDescent="0.25">
      <c r="A111" s="4">
        <v>109</v>
      </c>
      <c r="B111" t="s">
        <v>290</v>
      </c>
      <c r="D111">
        <v>20</v>
      </c>
      <c r="E111">
        <v>45</v>
      </c>
      <c r="F111" s="8">
        <v>100</v>
      </c>
      <c r="G111" s="7">
        <v>0.02</v>
      </c>
      <c r="H111" s="7">
        <v>0.27</v>
      </c>
      <c r="I111">
        <v>10</v>
      </c>
      <c r="J111">
        <v>0</v>
      </c>
      <c r="K111" s="7">
        <v>3</v>
      </c>
      <c r="L111">
        <v>1</v>
      </c>
      <c r="M111">
        <v>1</v>
      </c>
      <c r="N111" t="s">
        <v>204</v>
      </c>
      <c r="O111" t="b">
        <v>1</v>
      </c>
      <c r="P111">
        <v>100</v>
      </c>
    </row>
    <row r="112" spans="1:16" x14ac:dyDescent="0.25">
      <c r="A112" s="4">
        <v>110</v>
      </c>
      <c r="B112" t="s">
        <v>291</v>
      </c>
      <c r="D112">
        <v>20</v>
      </c>
      <c r="E112">
        <v>45</v>
      </c>
      <c r="F112" s="8">
        <v>100</v>
      </c>
      <c r="G112" s="7">
        <v>0.02</v>
      </c>
      <c r="H112" s="7">
        <v>0.27</v>
      </c>
      <c r="I112">
        <v>10</v>
      </c>
      <c r="J112">
        <v>0</v>
      </c>
      <c r="K112" s="7">
        <v>3</v>
      </c>
      <c r="L112">
        <v>1</v>
      </c>
      <c r="M112">
        <v>1</v>
      </c>
      <c r="N112" t="s">
        <v>204</v>
      </c>
      <c r="O112" t="b">
        <v>1</v>
      </c>
      <c r="P112">
        <v>100</v>
      </c>
    </row>
    <row r="113" spans="1:16" x14ac:dyDescent="0.25">
      <c r="A113" s="4">
        <v>111</v>
      </c>
      <c r="B113" t="s">
        <v>292</v>
      </c>
      <c r="D113">
        <v>34</v>
      </c>
      <c r="E113">
        <v>52</v>
      </c>
      <c r="F113" s="8">
        <v>55.1</v>
      </c>
      <c r="G113">
        <v>1.388682745825603E-2</v>
      </c>
      <c r="H113">
        <v>0.23777365491651209</v>
      </c>
      <c r="I113">
        <v>10</v>
      </c>
      <c r="J113">
        <v>0</v>
      </c>
      <c r="K113">
        <v>4</v>
      </c>
      <c r="L113">
        <v>1</v>
      </c>
      <c r="M113">
        <v>1</v>
      </c>
      <c r="N113" t="s">
        <v>204</v>
      </c>
      <c r="O113" t="b">
        <v>1</v>
      </c>
      <c r="P113">
        <v>100</v>
      </c>
    </row>
    <row r="114" spans="1:16" x14ac:dyDescent="0.25">
      <c r="A114" s="4">
        <v>112</v>
      </c>
      <c r="B114" t="s">
        <v>293</v>
      </c>
      <c r="D114">
        <v>34</v>
      </c>
      <c r="E114">
        <v>52</v>
      </c>
      <c r="F114" s="8">
        <v>55.1</v>
      </c>
      <c r="G114">
        <v>1.388682745825603E-2</v>
      </c>
      <c r="H114">
        <v>0.23777365491651209</v>
      </c>
      <c r="I114">
        <v>10</v>
      </c>
      <c r="J114">
        <v>0</v>
      </c>
      <c r="K114">
        <v>4</v>
      </c>
      <c r="L114">
        <v>1</v>
      </c>
      <c r="M114">
        <v>1</v>
      </c>
      <c r="N114" t="s">
        <v>204</v>
      </c>
      <c r="O114" t="b">
        <v>1</v>
      </c>
      <c r="P114">
        <v>100</v>
      </c>
    </row>
    <row r="115" spans="1:16" x14ac:dyDescent="0.25">
      <c r="A115" s="4">
        <v>113</v>
      </c>
      <c r="B115" t="s">
        <v>294</v>
      </c>
      <c r="D115">
        <v>52</v>
      </c>
      <c r="E115">
        <v>47</v>
      </c>
      <c r="F115" s="8">
        <v>29.2</v>
      </c>
      <c r="G115">
        <v>1.388682745825603E-2</v>
      </c>
      <c r="H115">
        <v>0.23777365491651209</v>
      </c>
      <c r="I115">
        <v>10</v>
      </c>
      <c r="J115">
        <v>0</v>
      </c>
      <c r="K115">
        <v>4</v>
      </c>
      <c r="L115">
        <v>1</v>
      </c>
      <c r="M115">
        <v>1</v>
      </c>
      <c r="N115" t="s">
        <v>204</v>
      </c>
      <c r="O115" t="b">
        <v>1</v>
      </c>
      <c r="P115">
        <v>100</v>
      </c>
    </row>
    <row r="116" spans="1:16" x14ac:dyDescent="0.25">
      <c r="A116" s="4">
        <v>114</v>
      </c>
      <c r="B116" t="s">
        <v>295</v>
      </c>
      <c r="D116">
        <v>52</v>
      </c>
      <c r="E116">
        <v>47</v>
      </c>
      <c r="F116" s="8">
        <v>29.2</v>
      </c>
      <c r="G116">
        <v>1.388682745825603E-2</v>
      </c>
      <c r="H116">
        <v>0.23777365491651209</v>
      </c>
      <c r="I116">
        <v>10</v>
      </c>
      <c r="J116">
        <v>0</v>
      </c>
      <c r="K116">
        <v>4</v>
      </c>
      <c r="L116">
        <v>1</v>
      </c>
      <c r="M116">
        <v>1</v>
      </c>
      <c r="N116" t="s">
        <v>204</v>
      </c>
      <c r="O116" t="b">
        <v>1</v>
      </c>
      <c r="P116">
        <v>100</v>
      </c>
    </row>
    <row r="117" spans="1:16" x14ac:dyDescent="0.25">
      <c r="A117" s="4">
        <v>115</v>
      </c>
      <c r="B117" t="s">
        <v>296</v>
      </c>
      <c r="D117">
        <v>47</v>
      </c>
      <c r="E117">
        <v>27</v>
      </c>
      <c r="F117" s="8">
        <v>24.6</v>
      </c>
      <c r="G117">
        <v>1.388682745825603E-2</v>
      </c>
      <c r="H117">
        <v>0.23777365491651209</v>
      </c>
      <c r="I117">
        <v>10</v>
      </c>
      <c r="J117">
        <v>0</v>
      </c>
      <c r="K117">
        <v>4</v>
      </c>
      <c r="L117">
        <v>1</v>
      </c>
      <c r="M117">
        <v>1</v>
      </c>
      <c r="N117" t="s">
        <v>204</v>
      </c>
      <c r="O117" t="b">
        <v>1</v>
      </c>
      <c r="P117">
        <v>100</v>
      </c>
    </row>
    <row r="118" spans="1:16" x14ac:dyDescent="0.25">
      <c r="A118" s="4">
        <v>116</v>
      </c>
      <c r="B118" t="s">
        <v>297</v>
      </c>
      <c r="D118">
        <v>47</v>
      </c>
      <c r="E118">
        <v>27</v>
      </c>
      <c r="F118" s="8">
        <v>24.6</v>
      </c>
      <c r="G118">
        <v>1.388682745825603E-2</v>
      </c>
      <c r="H118">
        <v>0.23777365491651209</v>
      </c>
      <c r="I118">
        <v>10</v>
      </c>
      <c r="J118">
        <v>0</v>
      </c>
      <c r="K118">
        <v>4</v>
      </c>
      <c r="L118">
        <v>1</v>
      </c>
      <c r="M118">
        <v>1</v>
      </c>
      <c r="N118" t="s">
        <v>204</v>
      </c>
      <c r="O118" t="b">
        <v>1</v>
      </c>
      <c r="P118">
        <v>100</v>
      </c>
    </row>
    <row r="119" spans="1:16" x14ac:dyDescent="0.25">
      <c r="A119" s="4">
        <v>117</v>
      </c>
      <c r="B119" t="s">
        <v>298</v>
      </c>
      <c r="D119">
        <v>25</v>
      </c>
      <c r="E119">
        <v>20</v>
      </c>
      <c r="F119" s="8">
        <v>21</v>
      </c>
      <c r="G119" s="7">
        <v>0.02</v>
      </c>
      <c r="H119" s="7">
        <v>0.27</v>
      </c>
      <c r="I119">
        <v>10</v>
      </c>
      <c r="J119">
        <v>0</v>
      </c>
      <c r="K119" s="7">
        <v>3</v>
      </c>
      <c r="L119">
        <v>1</v>
      </c>
      <c r="M119">
        <v>1</v>
      </c>
      <c r="N119" t="s">
        <v>204</v>
      </c>
      <c r="O119" t="b">
        <v>1</v>
      </c>
      <c r="P119">
        <v>100</v>
      </c>
    </row>
    <row r="120" spans="1:16" x14ac:dyDescent="0.25">
      <c r="A120" s="4">
        <v>118</v>
      </c>
      <c r="B120" t="s">
        <v>299</v>
      </c>
      <c r="D120">
        <v>25</v>
      </c>
      <c r="E120">
        <v>20</v>
      </c>
      <c r="F120" s="8">
        <v>21</v>
      </c>
      <c r="G120" s="7">
        <v>0.02</v>
      </c>
      <c r="H120" s="7">
        <v>0.27</v>
      </c>
      <c r="I120">
        <v>10</v>
      </c>
      <c r="J120">
        <v>0</v>
      </c>
      <c r="K120" s="7">
        <v>3</v>
      </c>
      <c r="L120">
        <v>1</v>
      </c>
      <c r="M120">
        <v>1</v>
      </c>
      <c r="N120" t="s">
        <v>204</v>
      </c>
      <c r="O120" t="b">
        <v>1</v>
      </c>
      <c r="P120">
        <v>100</v>
      </c>
    </row>
    <row r="121" spans="1:16" x14ac:dyDescent="0.25">
      <c r="A121" s="4">
        <v>119</v>
      </c>
      <c r="B121" t="s">
        <v>300</v>
      </c>
      <c r="D121">
        <v>24</v>
      </c>
      <c r="E121">
        <v>22</v>
      </c>
      <c r="F121" s="8">
        <v>34</v>
      </c>
      <c r="G121" s="7">
        <v>0.02</v>
      </c>
      <c r="H121" s="7">
        <v>0.27</v>
      </c>
      <c r="I121">
        <v>10</v>
      </c>
      <c r="J121">
        <v>0</v>
      </c>
      <c r="K121" s="7">
        <v>3</v>
      </c>
      <c r="L121">
        <v>1</v>
      </c>
      <c r="M121">
        <v>1</v>
      </c>
      <c r="N121" t="s">
        <v>204</v>
      </c>
      <c r="O121" t="b">
        <v>1</v>
      </c>
      <c r="P121">
        <v>100</v>
      </c>
    </row>
    <row r="122" spans="1:16" x14ac:dyDescent="0.25">
      <c r="A122" s="4">
        <v>120</v>
      </c>
      <c r="B122" t="s">
        <v>301</v>
      </c>
      <c r="D122">
        <v>24</v>
      </c>
      <c r="E122">
        <v>22</v>
      </c>
      <c r="F122" s="8">
        <v>34</v>
      </c>
      <c r="G122" s="7">
        <v>0.02</v>
      </c>
      <c r="H122" s="7">
        <v>0.27</v>
      </c>
      <c r="I122">
        <v>10</v>
      </c>
      <c r="J122">
        <v>0</v>
      </c>
      <c r="K122" s="7">
        <v>3</v>
      </c>
      <c r="L122">
        <v>1</v>
      </c>
      <c r="M122">
        <v>1</v>
      </c>
      <c r="N122" t="s">
        <v>204</v>
      </c>
      <c r="O122" t="b">
        <v>1</v>
      </c>
      <c r="P12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"/>
  <sheetViews>
    <sheetView workbookViewId="0">
      <selection activeCell="B5" sqref="B5"/>
    </sheetView>
  </sheetViews>
  <sheetFormatPr defaultRowHeight="15" x14ac:dyDescent="0.25"/>
  <cols>
    <col min="2" max="2" width="27.85546875" bestFit="1" customWidth="1"/>
  </cols>
  <sheetData>
    <row r="1" spans="1:26" x14ac:dyDescent="0.25">
      <c r="B1" s="1" t="s">
        <v>0</v>
      </c>
      <c r="C1" s="1" t="s">
        <v>116</v>
      </c>
      <c r="D1" s="1" t="s">
        <v>205</v>
      </c>
      <c r="E1" s="1" t="s">
        <v>206</v>
      </c>
      <c r="F1" s="1" t="s">
        <v>101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126</v>
      </c>
      <c r="W1" s="1" t="s">
        <v>125</v>
      </c>
      <c r="X1" s="1" t="s">
        <v>4</v>
      </c>
      <c r="Y1" s="1" t="s">
        <v>222</v>
      </c>
      <c r="Z1" s="1" t="s">
        <v>127</v>
      </c>
    </row>
    <row r="2" spans="1:26" x14ac:dyDescent="0.25">
      <c r="A2" s="1">
        <v>0</v>
      </c>
      <c r="B2" t="s">
        <v>223</v>
      </c>
      <c r="D2">
        <v>18</v>
      </c>
      <c r="E2">
        <v>0</v>
      </c>
      <c r="F2">
        <v>2250</v>
      </c>
      <c r="G2">
        <v>380</v>
      </c>
      <c r="H2">
        <v>220</v>
      </c>
      <c r="I2">
        <v>8</v>
      </c>
      <c r="J2">
        <v>0.06</v>
      </c>
      <c r="K2">
        <v>0</v>
      </c>
      <c r="L2">
        <v>0</v>
      </c>
      <c r="M2">
        <v>0</v>
      </c>
      <c r="U2" t="b">
        <v>0</v>
      </c>
      <c r="V2">
        <v>1</v>
      </c>
      <c r="W2">
        <v>1</v>
      </c>
      <c r="X2" t="b">
        <v>1</v>
      </c>
      <c r="Y2">
        <v>0</v>
      </c>
      <c r="Z2">
        <v>100</v>
      </c>
    </row>
    <row r="3" spans="1:26" x14ac:dyDescent="0.25">
      <c r="A3" s="1">
        <v>1</v>
      </c>
      <c r="B3" t="s">
        <v>224</v>
      </c>
      <c r="D3">
        <v>20</v>
      </c>
      <c r="E3">
        <v>1</v>
      </c>
      <c r="F3">
        <v>1000</v>
      </c>
      <c r="G3">
        <v>380</v>
      </c>
      <c r="H3">
        <v>220</v>
      </c>
      <c r="I3">
        <v>8</v>
      </c>
      <c r="J3">
        <v>0.06</v>
      </c>
      <c r="K3">
        <v>0</v>
      </c>
      <c r="L3">
        <v>0</v>
      </c>
      <c r="M3">
        <v>0</v>
      </c>
      <c r="U3" t="b">
        <v>0</v>
      </c>
      <c r="V3">
        <v>1</v>
      </c>
      <c r="W3">
        <v>1</v>
      </c>
      <c r="X3" t="b">
        <v>1</v>
      </c>
      <c r="Y3">
        <v>0</v>
      </c>
      <c r="Z3">
        <v>100</v>
      </c>
    </row>
    <row r="4" spans="1:26" x14ac:dyDescent="0.25">
      <c r="A4" s="1">
        <v>2</v>
      </c>
      <c r="B4" t="s">
        <v>225</v>
      </c>
      <c r="D4">
        <v>27</v>
      </c>
      <c r="E4">
        <v>4</v>
      </c>
      <c r="F4">
        <v>750</v>
      </c>
      <c r="G4">
        <v>380</v>
      </c>
      <c r="H4">
        <v>220</v>
      </c>
      <c r="I4">
        <v>8</v>
      </c>
      <c r="J4">
        <v>0.06</v>
      </c>
      <c r="K4">
        <v>0</v>
      </c>
      <c r="L4">
        <v>0</v>
      </c>
      <c r="M4">
        <v>0</v>
      </c>
      <c r="U4" t="b">
        <v>0</v>
      </c>
      <c r="V4">
        <v>1</v>
      </c>
      <c r="W4">
        <v>1</v>
      </c>
      <c r="X4" t="b">
        <v>1</v>
      </c>
      <c r="Y4">
        <v>0</v>
      </c>
      <c r="Z4">
        <v>100</v>
      </c>
    </row>
    <row r="5" spans="1:26" x14ac:dyDescent="0.25">
      <c r="A5" s="4">
        <v>3</v>
      </c>
      <c r="B5" t="s">
        <v>264</v>
      </c>
      <c r="D5" s="6">
        <v>45</v>
      </c>
      <c r="E5" s="6">
        <v>7</v>
      </c>
      <c r="F5" s="7">
        <v>5400</v>
      </c>
      <c r="G5">
        <v>380</v>
      </c>
      <c r="H5">
        <v>220</v>
      </c>
      <c r="I5">
        <v>8</v>
      </c>
      <c r="J5">
        <v>0.06</v>
      </c>
      <c r="K5">
        <v>0</v>
      </c>
      <c r="L5">
        <v>0</v>
      </c>
      <c r="M5">
        <v>0</v>
      </c>
      <c r="U5" t="b">
        <v>0</v>
      </c>
      <c r="V5">
        <v>1</v>
      </c>
      <c r="W5">
        <v>1</v>
      </c>
      <c r="X5" t="b">
        <v>1</v>
      </c>
      <c r="Y5">
        <v>0</v>
      </c>
      <c r="Z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4"/>
  <sheetViews>
    <sheetView topLeftCell="A45" workbookViewId="0">
      <selection activeCell="B47" sqref="B47:C54"/>
    </sheetView>
  </sheetViews>
  <sheetFormatPr defaultRowHeight="15" x14ac:dyDescent="0.25"/>
  <sheetData>
    <row r="1" spans="1:4" x14ac:dyDescent="0.25">
      <c r="B1" s="1" t="s">
        <v>226</v>
      </c>
      <c r="C1" s="1" t="s">
        <v>227</v>
      </c>
      <c r="D1" s="1" t="s">
        <v>228</v>
      </c>
    </row>
    <row r="2" spans="1:4" x14ac:dyDescent="0.25">
      <c r="A2" s="1">
        <v>0</v>
      </c>
      <c r="B2">
        <v>6.8741753418525402</v>
      </c>
      <c r="C2">
        <v>53.424450347563798</v>
      </c>
    </row>
    <row r="3" spans="1:4" x14ac:dyDescent="0.25">
      <c r="A3" s="1">
        <v>1</v>
      </c>
      <c r="B3">
        <v>5.8111360417209097</v>
      </c>
      <c r="C3">
        <v>52.6185276050699</v>
      </c>
    </row>
    <row r="4" spans="1:4" x14ac:dyDescent="0.25">
      <c r="A4" s="1">
        <v>2</v>
      </c>
      <c r="B4">
        <v>6.1883993615289503</v>
      </c>
      <c r="C4">
        <v>52.532048142907001</v>
      </c>
    </row>
    <row r="5" spans="1:4" x14ac:dyDescent="0.25">
      <c r="A5" s="1">
        <v>3</v>
      </c>
      <c r="B5">
        <v>5.8772614710807396</v>
      </c>
      <c r="C5">
        <v>53.1899731328351</v>
      </c>
    </row>
    <row r="6" spans="1:4" x14ac:dyDescent="0.25">
      <c r="A6" s="1">
        <v>4</v>
      </c>
      <c r="B6">
        <v>6.9463037007553901</v>
      </c>
      <c r="C6">
        <v>53.123551284554601</v>
      </c>
    </row>
    <row r="7" spans="1:4" x14ac:dyDescent="0.25">
      <c r="A7" s="1">
        <v>5</v>
      </c>
      <c r="B7">
        <v>5.8733149947958596</v>
      </c>
      <c r="C7">
        <v>52.973899573106102</v>
      </c>
    </row>
    <row r="8" spans="1:4" x14ac:dyDescent="0.25">
      <c r="A8" s="1">
        <v>6</v>
      </c>
      <c r="B8">
        <v>6.87387951041325</v>
      </c>
      <c r="C8">
        <v>53.424161379257903</v>
      </c>
    </row>
    <row r="9" spans="1:4" x14ac:dyDescent="0.25">
      <c r="A9" s="1">
        <v>7</v>
      </c>
      <c r="B9">
        <v>6.4748641287746498</v>
      </c>
      <c r="C9">
        <v>53.210517280005398</v>
      </c>
    </row>
    <row r="10" spans="1:4" x14ac:dyDescent="0.25">
      <c r="A10" s="1">
        <v>8</v>
      </c>
      <c r="B10">
        <v>6.9576607136134196</v>
      </c>
      <c r="C10">
        <v>53.302216316255603</v>
      </c>
    </row>
    <row r="11" spans="1:4" x14ac:dyDescent="0.25">
      <c r="A11" s="1">
        <v>9</v>
      </c>
      <c r="B11">
        <v>6.5227311161215198</v>
      </c>
      <c r="C11">
        <v>53.009138205886401</v>
      </c>
    </row>
    <row r="12" spans="1:4" x14ac:dyDescent="0.25">
      <c r="A12" s="1">
        <v>10</v>
      </c>
      <c r="B12">
        <v>4.98639517558777</v>
      </c>
      <c r="C12">
        <v>52.160141735408601</v>
      </c>
    </row>
    <row r="13" spans="1:4" x14ac:dyDescent="0.25">
      <c r="A13" s="1">
        <v>11</v>
      </c>
      <c r="B13">
        <v>3.7309742947595099</v>
      </c>
      <c r="C13">
        <v>51.433105186705497</v>
      </c>
    </row>
    <row r="14" spans="1:4" x14ac:dyDescent="0.25">
      <c r="A14" s="1">
        <v>12</v>
      </c>
      <c r="B14">
        <v>4.67750993239446</v>
      </c>
      <c r="C14">
        <v>52.4725733177347</v>
      </c>
    </row>
    <row r="15" spans="1:4" x14ac:dyDescent="0.25">
      <c r="A15" s="1">
        <v>13</v>
      </c>
      <c r="B15">
        <v>4.5329988026835899</v>
      </c>
      <c r="C15">
        <v>52.035745464765498</v>
      </c>
    </row>
    <row r="16" spans="1:4" x14ac:dyDescent="0.25">
      <c r="A16" s="1">
        <v>14</v>
      </c>
      <c r="B16">
        <v>4.7499228404801501</v>
      </c>
      <c r="C16">
        <v>51.812743207555201</v>
      </c>
    </row>
    <row r="17" spans="1:3" x14ac:dyDescent="0.25">
      <c r="A17" s="1">
        <v>15</v>
      </c>
      <c r="B17">
        <v>5.0159516605650696</v>
      </c>
      <c r="C17">
        <v>52.337667341543103</v>
      </c>
    </row>
    <row r="18" spans="1:3" x14ac:dyDescent="0.25">
      <c r="A18" s="1">
        <v>16</v>
      </c>
      <c r="B18">
        <v>5.66206716478092</v>
      </c>
      <c r="C18">
        <v>51.926531011989397</v>
      </c>
    </row>
    <row r="19" spans="1:3" x14ac:dyDescent="0.25">
      <c r="A19" s="1">
        <v>17</v>
      </c>
      <c r="B19">
        <v>6.2500878799822397</v>
      </c>
      <c r="C19">
        <v>51.980562127695599</v>
      </c>
    </row>
    <row r="20" spans="1:3" x14ac:dyDescent="0.25">
      <c r="A20" s="1">
        <v>18</v>
      </c>
      <c r="B20">
        <v>6.8740854573509598</v>
      </c>
      <c r="C20">
        <v>53.426045615282199</v>
      </c>
    </row>
    <row r="21" spans="1:3" x14ac:dyDescent="0.25">
      <c r="A21" s="1">
        <v>19</v>
      </c>
      <c r="B21">
        <v>5.5311222109938001</v>
      </c>
      <c r="C21">
        <v>51.448019248763302</v>
      </c>
    </row>
    <row r="22" spans="1:3" x14ac:dyDescent="0.25">
      <c r="A22" s="1">
        <v>20</v>
      </c>
      <c r="B22">
        <v>5.8100554232881203</v>
      </c>
      <c r="C22">
        <v>52.616037077495797</v>
      </c>
    </row>
    <row r="23" spans="1:3" x14ac:dyDescent="0.25">
      <c r="A23" s="1">
        <v>21</v>
      </c>
      <c r="B23">
        <v>6.8636609167040197</v>
      </c>
      <c r="C23">
        <v>53.436465567222697</v>
      </c>
    </row>
    <row r="24" spans="1:3" x14ac:dyDescent="0.25">
      <c r="A24" s="1">
        <v>22</v>
      </c>
      <c r="B24">
        <v>4.8345543452357997</v>
      </c>
      <c r="C24">
        <v>51.701497333879601</v>
      </c>
    </row>
    <row r="25" spans="1:3" x14ac:dyDescent="0.25">
      <c r="A25" s="1">
        <v>23</v>
      </c>
      <c r="B25">
        <v>6.75671639678679</v>
      </c>
      <c r="C25">
        <v>52.247883039638097</v>
      </c>
    </row>
    <row r="26" spans="1:3" x14ac:dyDescent="0.25">
      <c r="A26" s="1">
        <v>24</v>
      </c>
      <c r="B26">
        <v>4.6297180927097603</v>
      </c>
      <c r="C26">
        <v>51.913488247174698</v>
      </c>
    </row>
    <row r="27" spans="1:3" x14ac:dyDescent="0.25">
      <c r="A27" s="1">
        <v>25</v>
      </c>
      <c r="B27">
        <v>5.5408071313559297</v>
      </c>
      <c r="C27">
        <v>52.577122880197102</v>
      </c>
    </row>
    <row r="28" spans="1:3" x14ac:dyDescent="0.25">
      <c r="A28" s="1">
        <v>26</v>
      </c>
      <c r="B28">
        <v>5.9159697115685299</v>
      </c>
      <c r="C28">
        <v>51.149227746092102</v>
      </c>
    </row>
    <row r="29" spans="1:3" x14ac:dyDescent="0.25">
      <c r="A29" s="1">
        <v>27</v>
      </c>
      <c r="B29">
        <v>6.9489727500541001</v>
      </c>
      <c r="C29">
        <v>53.123682285841902</v>
      </c>
    </row>
    <row r="30" spans="1:3" x14ac:dyDescent="0.25">
      <c r="A30" s="1">
        <v>28</v>
      </c>
      <c r="B30">
        <v>4.0221011689426396</v>
      </c>
      <c r="C30">
        <v>51.9538951527664</v>
      </c>
    </row>
    <row r="31" spans="1:3" x14ac:dyDescent="0.25">
      <c r="A31" s="1">
        <v>29</v>
      </c>
      <c r="B31">
        <v>4.8773636120236503</v>
      </c>
      <c r="C31">
        <v>52.428256814446897</v>
      </c>
    </row>
    <row r="32" spans="1:3" x14ac:dyDescent="0.25">
      <c r="A32" s="1">
        <v>30</v>
      </c>
      <c r="B32">
        <v>4.2202728282944602</v>
      </c>
      <c r="C32">
        <v>51.422497626952897</v>
      </c>
    </row>
    <row r="33" spans="1:3" x14ac:dyDescent="0.25">
      <c r="A33" s="1">
        <v>31</v>
      </c>
      <c r="B33">
        <v>4.6939580135549601</v>
      </c>
      <c r="C33">
        <v>52.374120184045204</v>
      </c>
    </row>
    <row r="34" spans="1:3" x14ac:dyDescent="0.25">
      <c r="A34" s="1">
        <v>32</v>
      </c>
      <c r="B34">
        <v>4.2231635105570602</v>
      </c>
      <c r="C34">
        <v>51.982499826585297</v>
      </c>
    </row>
    <row r="35" spans="1:3" x14ac:dyDescent="0.25">
      <c r="A35" s="1">
        <v>33</v>
      </c>
      <c r="B35">
        <v>4.30579659471322</v>
      </c>
      <c r="C35">
        <v>52.0163675723662</v>
      </c>
    </row>
    <row r="36" spans="1:3" x14ac:dyDescent="0.25">
      <c r="A36" s="1">
        <v>34</v>
      </c>
      <c r="B36">
        <v>6.1896608860625397</v>
      </c>
      <c r="C36">
        <v>52.5311072562519</v>
      </c>
    </row>
    <row r="37" spans="1:3" x14ac:dyDescent="0.25">
      <c r="A37" s="1">
        <v>35</v>
      </c>
      <c r="B37">
        <v>4.0211829999999997</v>
      </c>
      <c r="C37">
        <v>51.957417</v>
      </c>
    </row>
    <row r="38" spans="1:3" x14ac:dyDescent="0.25">
      <c r="A38" s="1">
        <v>36</v>
      </c>
      <c r="B38">
        <v>6.8671119999999997</v>
      </c>
      <c r="C38">
        <v>53.435696999999998</v>
      </c>
    </row>
    <row r="39" spans="1:3" x14ac:dyDescent="0.25">
      <c r="A39" s="1">
        <v>37</v>
      </c>
      <c r="B39">
        <v>6.8665229999999999</v>
      </c>
      <c r="C39">
        <v>53.434562</v>
      </c>
    </row>
    <row r="40" spans="1:3" x14ac:dyDescent="0.25">
      <c r="A40" s="1">
        <v>38</v>
      </c>
      <c r="B40">
        <v>7.1894859999999996</v>
      </c>
      <c r="C40">
        <v>53.150091000000003</v>
      </c>
    </row>
    <row r="41" spans="1:3" x14ac:dyDescent="0.25">
      <c r="A41" s="1">
        <v>39</v>
      </c>
      <c r="B41">
        <v>6.9627559999999997</v>
      </c>
      <c r="C41">
        <v>52.194516999999998</v>
      </c>
    </row>
    <row r="42" spans="1:3" x14ac:dyDescent="0.25">
      <c r="A42" s="1">
        <v>40</v>
      </c>
      <c r="B42">
        <v>6.4496079999999996</v>
      </c>
      <c r="C42">
        <v>51.865383999999999</v>
      </c>
    </row>
    <row r="43" spans="1:3" x14ac:dyDescent="0.25">
      <c r="A43" s="1">
        <v>41</v>
      </c>
      <c r="B43">
        <v>6.0398350000000001</v>
      </c>
      <c r="C43">
        <v>51.098849000000001</v>
      </c>
    </row>
    <row r="44" spans="1:3" x14ac:dyDescent="0.25">
      <c r="A44" s="1">
        <v>42</v>
      </c>
      <c r="B44">
        <v>6.0396979999999996</v>
      </c>
      <c r="C44">
        <v>51.098717000000001</v>
      </c>
    </row>
    <row r="45" spans="1:3" x14ac:dyDescent="0.25">
      <c r="A45" s="1">
        <v>43</v>
      </c>
      <c r="B45">
        <v>5.814349</v>
      </c>
      <c r="C45">
        <v>51.120961000000001</v>
      </c>
    </row>
    <row r="46" spans="1:3" x14ac:dyDescent="0.25">
      <c r="A46" s="1">
        <v>44</v>
      </c>
      <c r="B46">
        <v>4.2481210000000003</v>
      </c>
      <c r="C46">
        <v>51.375079999999997</v>
      </c>
    </row>
    <row r="47" spans="1:3" x14ac:dyDescent="0.25">
      <c r="A47" s="4">
        <v>45</v>
      </c>
      <c r="B47">
        <v>6.4748641287746498</v>
      </c>
      <c r="C47">
        <v>53.210517280005398</v>
      </c>
    </row>
    <row r="48" spans="1:3" x14ac:dyDescent="0.25">
      <c r="A48" s="4">
        <v>46</v>
      </c>
      <c r="B48">
        <v>5.0630367445841697</v>
      </c>
      <c r="C48">
        <v>51.6077291195041</v>
      </c>
    </row>
    <row r="49" spans="1:3" x14ac:dyDescent="0.25">
      <c r="A49" s="4">
        <v>47</v>
      </c>
      <c r="B49">
        <v>7.0478993348422296</v>
      </c>
      <c r="C49">
        <v>52.922301878571702</v>
      </c>
    </row>
    <row r="50" spans="1:3" x14ac:dyDescent="0.25">
      <c r="A50" s="4">
        <v>48</v>
      </c>
      <c r="B50">
        <v>5.7497630916419702</v>
      </c>
      <c r="C50">
        <v>51.813274290342903</v>
      </c>
    </row>
    <row r="51" spans="1:3" x14ac:dyDescent="0.25">
      <c r="A51" s="4">
        <v>49</v>
      </c>
      <c r="B51">
        <v>5.2651663214764097</v>
      </c>
      <c r="C51">
        <v>52.361516767917898</v>
      </c>
    </row>
    <row r="52" spans="1:3" x14ac:dyDescent="0.25">
      <c r="A52" s="4">
        <v>50</v>
      </c>
      <c r="B52">
        <v>4.2366160816946099</v>
      </c>
      <c r="C52">
        <v>51.521655700782198</v>
      </c>
    </row>
    <row r="53" spans="1:3" x14ac:dyDescent="0.25">
      <c r="A53" s="4">
        <v>51</v>
      </c>
      <c r="B53">
        <v>4.1460486959609497</v>
      </c>
      <c r="C53">
        <v>51.939058540496099</v>
      </c>
    </row>
    <row r="54" spans="1:3" x14ac:dyDescent="0.25">
      <c r="A54" s="4">
        <v>52</v>
      </c>
      <c r="B54">
        <v>6.8348261628314999</v>
      </c>
      <c r="C54">
        <v>52.7289205747282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5461-9307-4C3A-BD86-13B11E8D224D}">
  <dimension ref="A1:D78"/>
  <sheetViews>
    <sheetView workbookViewId="0">
      <selection activeCell="H7" sqref="H7"/>
    </sheetView>
  </sheetViews>
  <sheetFormatPr defaultRowHeight="15" x14ac:dyDescent="0.25"/>
  <sheetData>
    <row r="1" spans="1:4" x14ac:dyDescent="0.25">
      <c r="B1" s="1" t="s">
        <v>229</v>
      </c>
      <c r="C1" s="1" t="s">
        <v>230</v>
      </c>
      <c r="D1" s="1" t="s">
        <v>231</v>
      </c>
    </row>
    <row r="2" spans="1:4" x14ac:dyDescent="0.25">
      <c r="A2" s="1">
        <v>0</v>
      </c>
      <c r="B2" t="s">
        <v>98</v>
      </c>
      <c r="C2" t="s">
        <v>0</v>
      </c>
      <c r="D2" t="s">
        <v>237</v>
      </c>
    </row>
    <row r="3" spans="1:4" x14ac:dyDescent="0.25">
      <c r="A3" s="1">
        <v>1</v>
      </c>
      <c r="B3" t="s">
        <v>98</v>
      </c>
      <c r="C3" t="s">
        <v>1</v>
      </c>
      <c r="D3" t="s">
        <v>238</v>
      </c>
    </row>
    <row r="4" spans="1:4" x14ac:dyDescent="0.25">
      <c r="A4" s="1">
        <v>2</v>
      </c>
      <c r="B4" t="s">
        <v>98</v>
      </c>
      <c r="C4" t="s">
        <v>2</v>
      </c>
      <c r="D4" t="s">
        <v>237</v>
      </c>
    </row>
    <row r="5" spans="1:4" x14ac:dyDescent="0.25">
      <c r="A5" s="1">
        <v>3</v>
      </c>
      <c r="B5" t="s">
        <v>98</v>
      </c>
      <c r="C5" t="s">
        <v>3</v>
      </c>
      <c r="D5" t="s">
        <v>237</v>
      </c>
    </row>
    <row r="6" spans="1:4" x14ac:dyDescent="0.25">
      <c r="A6" s="1">
        <v>4</v>
      </c>
      <c r="B6" t="s">
        <v>98</v>
      </c>
      <c r="C6" t="s">
        <v>4</v>
      </c>
      <c r="D6" t="s">
        <v>239</v>
      </c>
    </row>
    <row r="7" spans="1:4" x14ac:dyDescent="0.25">
      <c r="A7" s="1">
        <v>5</v>
      </c>
      <c r="B7" t="s">
        <v>98</v>
      </c>
      <c r="C7" t="s">
        <v>5</v>
      </c>
      <c r="D7" t="s">
        <v>238</v>
      </c>
    </row>
    <row r="8" spans="1:4" x14ac:dyDescent="0.25">
      <c r="A8" s="1">
        <v>6</v>
      </c>
      <c r="B8" t="s">
        <v>98</v>
      </c>
      <c r="C8" t="s">
        <v>6</v>
      </c>
      <c r="D8" t="s">
        <v>238</v>
      </c>
    </row>
    <row r="9" spans="1:4" x14ac:dyDescent="0.25">
      <c r="A9" s="1">
        <v>7</v>
      </c>
      <c r="B9" t="s">
        <v>232</v>
      </c>
      <c r="C9" t="s">
        <v>0</v>
      </c>
      <c r="D9" t="s">
        <v>237</v>
      </c>
    </row>
    <row r="10" spans="1:4" x14ac:dyDescent="0.25">
      <c r="A10" s="1">
        <v>8</v>
      </c>
      <c r="B10" t="s">
        <v>232</v>
      </c>
      <c r="C10" t="s">
        <v>98</v>
      </c>
      <c r="D10" t="s">
        <v>240</v>
      </c>
    </row>
    <row r="11" spans="1:4" x14ac:dyDescent="0.25">
      <c r="A11" s="1">
        <v>9</v>
      </c>
      <c r="B11" t="s">
        <v>232</v>
      </c>
      <c r="C11" t="s">
        <v>99</v>
      </c>
      <c r="D11" t="s">
        <v>238</v>
      </c>
    </row>
    <row r="12" spans="1:4" x14ac:dyDescent="0.25">
      <c r="A12" s="1">
        <v>10</v>
      </c>
      <c r="B12" t="s">
        <v>232</v>
      </c>
      <c r="C12" t="s">
        <v>100</v>
      </c>
      <c r="D12" t="s">
        <v>238</v>
      </c>
    </row>
    <row r="13" spans="1:4" x14ac:dyDescent="0.25">
      <c r="A13" s="1">
        <v>11</v>
      </c>
      <c r="B13" t="s">
        <v>232</v>
      </c>
      <c r="C13" t="s">
        <v>101</v>
      </c>
      <c r="D13" t="s">
        <v>238</v>
      </c>
    </row>
    <row r="14" spans="1:4" x14ac:dyDescent="0.25">
      <c r="A14" s="1">
        <v>12</v>
      </c>
      <c r="B14" t="s">
        <v>232</v>
      </c>
      <c r="C14" t="s">
        <v>102</v>
      </c>
      <c r="D14" t="s">
        <v>238</v>
      </c>
    </row>
    <row r="15" spans="1:4" x14ac:dyDescent="0.25">
      <c r="A15" s="1">
        <v>13</v>
      </c>
      <c r="B15" t="s">
        <v>232</v>
      </c>
      <c r="C15" t="s">
        <v>103</v>
      </c>
      <c r="D15" t="s">
        <v>238</v>
      </c>
    </row>
    <row r="16" spans="1:4" x14ac:dyDescent="0.25">
      <c r="A16" s="1">
        <v>14</v>
      </c>
      <c r="B16" t="s">
        <v>232</v>
      </c>
      <c r="C16" t="s">
        <v>104</v>
      </c>
      <c r="D16" t="s">
        <v>238</v>
      </c>
    </row>
    <row r="17" spans="1:4" x14ac:dyDescent="0.25">
      <c r="A17" s="1">
        <v>15</v>
      </c>
      <c r="B17" t="s">
        <v>232</v>
      </c>
      <c r="C17" t="s">
        <v>105</v>
      </c>
      <c r="D17" t="s">
        <v>239</v>
      </c>
    </row>
    <row r="18" spans="1:4" x14ac:dyDescent="0.25">
      <c r="A18" s="1">
        <v>16</v>
      </c>
      <c r="B18" t="s">
        <v>232</v>
      </c>
      <c r="C18" t="s">
        <v>4</v>
      </c>
      <c r="D18" t="s">
        <v>239</v>
      </c>
    </row>
    <row r="19" spans="1:4" x14ac:dyDescent="0.25">
      <c r="A19" s="1">
        <v>17</v>
      </c>
      <c r="B19" t="s">
        <v>232</v>
      </c>
      <c r="C19" t="s">
        <v>106</v>
      </c>
      <c r="D19" t="s">
        <v>238</v>
      </c>
    </row>
    <row r="20" spans="1:4" x14ac:dyDescent="0.25">
      <c r="A20" s="1">
        <v>18</v>
      </c>
      <c r="B20" t="s">
        <v>232</v>
      </c>
      <c r="C20" t="s">
        <v>2</v>
      </c>
      <c r="D20" t="s">
        <v>237</v>
      </c>
    </row>
    <row r="21" spans="1:4" x14ac:dyDescent="0.25">
      <c r="A21" s="1">
        <v>19</v>
      </c>
      <c r="B21" t="s">
        <v>232</v>
      </c>
      <c r="C21" t="s">
        <v>107</v>
      </c>
      <c r="D21" t="s">
        <v>239</v>
      </c>
    </row>
    <row r="22" spans="1:4" x14ac:dyDescent="0.25">
      <c r="A22" s="1">
        <v>20</v>
      </c>
      <c r="B22" t="s">
        <v>232</v>
      </c>
      <c r="C22" t="s">
        <v>108</v>
      </c>
      <c r="D22" t="s">
        <v>238</v>
      </c>
    </row>
    <row r="23" spans="1:4" x14ac:dyDescent="0.25">
      <c r="A23" s="1">
        <v>21</v>
      </c>
      <c r="B23" t="s">
        <v>232</v>
      </c>
      <c r="C23" t="s">
        <v>109</v>
      </c>
      <c r="D23" t="s">
        <v>238</v>
      </c>
    </row>
    <row r="24" spans="1:4" x14ac:dyDescent="0.25">
      <c r="A24" s="1">
        <v>22</v>
      </c>
      <c r="B24" t="s">
        <v>233</v>
      </c>
      <c r="C24" t="s">
        <v>0</v>
      </c>
      <c r="D24" t="s">
        <v>237</v>
      </c>
    </row>
    <row r="25" spans="1:4" x14ac:dyDescent="0.25">
      <c r="A25" s="1">
        <v>23</v>
      </c>
      <c r="B25" t="s">
        <v>233</v>
      </c>
      <c r="C25" t="s">
        <v>98</v>
      </c>
      <c r="D25" t="s">
        <v>240</v>
      </c>
    </row>
    <row r="26" spans="1:4" x14ac:dyDescent="0.25">
      <c r="A26" s="1">
        <v>24</v>
      </c>
      <c r="B26" t="s">
        <v>233</v>
      </c>
      <c r="C26" t="s">
        <v>100</v>
      </c>
      <c r="D26" t="s">
        <v>238</v>
      </c>
    </row>
    <row r="27" spans="1:4" x14ac:dyDescent="0.25">
      <c r="A27" s="1">
        <v>25</v>
      </c>
      <c r="B27" t="s">
        <v>233</v>
      </c>
      <c r="C27" t="s">
        <v>115</v>
      </c>
      <c r="D27" t="s">
        <v>238</v>
      </c>
    </row>
    <row r="28" spans="1:4" x14ac:dyDescent="0.25">
      <c r="A28" s="1">
        <v>26</v>
      </c>
      <c r="B28" t="s">
        <v>233</v>
      </c>
      <c r="C28" t="s">
        <v>106</v>
      </c>
      <c r="D28" t="s">
        <v>238</v>
      </c>
    </row>
    <row r="29" spans="1:4" x14ac:dyDescent="0.25">
      <c r="A29" s="1">
        <v>27</v>
      </c>
      <c r="B29" t="s">
        <v>233</v>
      </c>
      <c r="C29" t="s">
        <v>4</v>
      </c>
      <c r="D29" t="s">
        <v>239</v>
      </c>
    </row>
    <row r="30" spans="1:4" x14ac:dyDescent="0.25">
      <c r="A30" s="1">
        <v>28</v>
      </c>
      <c r="B30" t="s">
        <v>233</v>
      </c>
      <c r="C30" t="s">
        <v>99</v>
      </c>
      <c r="D30" t="s">
        <v>238</v>
      </c>
    </row>
    <row r="31" spans="1:4" x14ac:dyDescent="0.25">
      <c r="A31" s="1">
        <v>29</v>
      </c>
      <c r="B31" t="s">
        <v>233</v>
      </c>
      <c r="C31" t="s">
        <v>108</v>
      </c>
      <c r="D31" t="s">
        <v>238</v>
      </c>
    </row>
    <row r="32" spans="1:4" x14ac:dyDescent="0.25">
      <c r="A32" s="1">
        <v>30</v>
      </c>
      <c r="B32" t="s">
        <v>233</v>
      </c>
      <c r="C32" t="s">
        <v>109</v>
      </c>
      <c r="D32" t="s">
        <v>238</v>
      </c>
    </row>
    <row r="33" spans="1:4" x14ac:dyDescent="0.25">
      <c r="A33" s="1">
        <v>31</v>
      </c>
      <c r="B33" t="s">
        <v>233</v>
      </c>
      <c r="C33" t="s">
        <v>102</v>
      </c>
      <c r="D33" t="s">
        <v>238</v>
      </c>
    </row>
    <row r="34" spans="1:4" x14ac:dyDescent="0.25">
      <c r="A34" s="1">
        <v>32</v>
      </c>
      <c r="B34" t="s">
        <v>233</v>
      </c>
      <c r="C34" t="s">
        <v>103</v>
      </c>
      <c r="D34" t="s">
        <v>238</v>
      </c>
    </row>
    <row r="35" spans="1:4" x14ac:dyDescent="0.25">
      <c r="A35" s="1">
        <v>33</v>
      </c>
      <c r="B35" t="s">
        <v>233</v>
      </c>
      <c r="C35" t="s">
        <v>107</v>
      </c>
      <c r="D35" t="s">
        <v>239</v>
      </c>
    </row>
    <row r="36" spans="1:4" x14ac:dyDescent="0.25">
      <c r="A36" s="1">
        <v>34</v>
      </c>
      <c r="B36" t="s">
        <v>234</v>
      </c>
      <c r="C36" t="s">
        <v>0</v>
      </c>
      <c r="D36" t="s">
        <v>237</v>
      </c>
    </row>
    <row r="37" spans="1:4" x14ac:dyDescent="0.25">
      <c r="A37" s="1">
        <v>35</v>
      </c>
      <c r="B37" t="s">
        <v>234</v>
      </c>
      <c r="C37" t="s">
        <v>116</v>
      </c>
      <c r="D37" t="s">
        <v>237</v>
      </c>
    </row>
    <row r="38" spans="1:4" x14ac:dyDescent="0.25">
      <c r="A38" s="1">
        <v>36</v>
      </c>
      <c r="B38" t="s">
        <v>234</v>
      </c>
      <c r="C38" t="s">
        <v>117</v>
      </c>
      <c r="D38" t="s">
        <v>240</v>
      </c>
    </row>
    <row r="39" spans="1:4" x14ac:dyDescent="0.25">
      <c r="A39" s="1">
        <v>37</v>
      </c>
      <c r="B39" t="s">
        <v>234</v>
      </c>
      <c r="C39" t="s">
        <v>118</v>
      </c>
      <c r="D39" t="s">
        <v>240</v>
      </c>
    </row>
    <row r="40" spans="1:4" x14ac:dyDescent="0.25">
      <c r="A40" s="1">
        <v>38</v>
      </c>
      <c r="B40" t="s">
        <v>234</v>
      </c>
      <c r="C40" t="s">
        <v>119</v>
      </c>
      <c r="D40" t="s">
        <v>238</v>
      </c>
    </row>
    <row r="41" spans="1:4" x14ac:dyDescent="0.25">
      <c r="A41" s="1">
        <v>39</v>
      </c>
      <c r="B41" t="s">
        <v>234</v>
      </c>
      <c r="C41" t="s">
        <v>120</v>
      </c>
      <c r="D41" t="s">
        <v>238</v>
      </c>
    </row>
    <row r="42" spans="1:4" x14ac:dyDescent="0.25">
      <c r="A42" s="1">
        <v>40</v>
      </c>
      <c r="B42" t="s">
        <v>234</v>
      </c>
      <c r="C42" t="s">
        <v>121</v>
      </c>
      <c r="D42" t="s">
        <v>238</v>
      </c>
    </row>
    <row r="43" spans="1:4" x14ac:dyDescent="0.25">
      <c r="A43" s="1">
        <v>41</v>
      </c>
      <c r="B43" t="s">
        <v>234</v>
      </c>
      <c r="C43" t="s">
        <v>122</v>
      </c>
      <c r="D43" t="s">
        <v>238</v>
      </c>
    </row>
    <row r="44" spans="1:4" x14ac:dyDescent="0.25">
      <c r="A44" s="1">
        <v>42</v>
      </c>
      <c r="B44" t="s">
        <v>234</v>
      </c>
      <c r="C44" t="s">
        <v>123</v>
      </c>
      <c r="D44" t="s">
        <v>238</v>
      </c>
    </row>
    <row r="45" spans="1:4" x14ac:dyDescent="0.25">
      <c r="A45" s="1">
        <v>43</v>
      </c>
      <c r="B45" t="s">
        <v>234</v>
      </c>
      <c r="C45" t="s">
        <v>124</v>
      </c>
      <c r="D45" t="s">
        <v>238</v>
      </c>
    </row>
    <row r="46" spans="1:4" x14ac:dyDescent="0.25">
      <c r="A46" s="1">
        <v>44</v>
      </c>
      <c r="B46" t="s">
        <v>234</v>
      </c>
      <c r="C46" t="s">
        <v>125</v>
      </c>
      <c r="D46" t="s">
        <v>238</v>
      </c>
    </row>
    <row r="47" spans="1:4" x14ac:dyDescent="0.25">
      <c r="A47" s="1">
        <v>45</v>
      </c>
      <c r="B47" t="s">
        <v>234</v>
      </c>
      <c r="C47" t="s">
        <v>126</v>
      </c>
      <c r="D47" t="s">
        <v>240</v>
      </c>
    </row>
    <row r="48" spans="1:4" x14ac:dyDescent="0.25">
      <c r="A48" s="1">
        <v>46</v>
      </c>
      <c r="B48" t="s">
        <v>234</v>
      </c>
      <c r="C48" t="s">
        <v>2</v>
      </c>
      <c r="D48" t="s">
        <v>237</v>
      </c>
    </row>
    <row r="49" spans="1:4" x14ac:dyDescent="0.25">
      <c r="A49" s="1">
        <v>47</v>
      </c>
      <c r="B49" t="s">
        <v>234</v>
      </c>
      <c r="C49" t="s">
        <v>4</v>
      </c>
      <c r="D49" t="s">
        <v>239</v>
      </c>
    </row>
    <row r="50" spans="1:4" x14ac:dyDescent="0.25">
      <c r="A50" s="1">
        <v>48</v>
      </c>
      <c r="B50" t="s">
        <v>234</v>
      </c>
      <c r="C50" t="s">
        <v>127</v>
      </c>
      <c r="D50" t="s">
        <v>238</v>
      </c>
    </row>
    <row r="51" spans="1:4" x14ac:dyDescent="0.25">
      <c r="A51" s="1">
        <v>49</v>
      </c>
      <c r="B51" t="s">
        <v>235</v>
      </c>
      <c r="C51" t="s">
        <v>0</v>
      </c>
      <c r="D51" t="s">
        <v>237</v>
      </c>
    </row>
    <row r="52" spans="1:4" x14ac:dyDescent="0.25">
      <c r="A52" s="1">
        <v>50</v>
      </c>
      <c r="B52" t="s">
        <v>235</v>
      </c>
      <c r="C52" t="s">
        <v>116</v>
      </c>
      <c r="D52" t="s">
        <v>237</v>
      </c>
    </row>
    <row r="53" spans="1:4" x14ac:dyDescent="0.25">
      <c r="A53" s="1">
        <v>51</v>
      </c>
      <c r="B53" t="s">
        <v>235</v>
      </c>
      <c r="C53" t="s">
        <v>205</v>
      </c>
      <c r="D53" t="s">
        <v>240</v>
      </c>
    </row>
    <row r="54" spans="1:4" x14ac:dyDescent="0.25">
      <c r="A54" s="1">
        <v>52</v>
      </c>
      <c r="B54" t="s">
        <v>235</v>
      </c>
      <c r="C54" t="s">
        <v>206</v>
      </c>
      <c r="D54" t="s">
        <v>240</v>
      </c>
    </row>
    <row r="55" spans="1:4" x14ac:dyDescent="0.25">
      <c r="A55" s="1">
        <v>53</v>
      </c>
      <c r="B55" t="s">
        <v>235</v>
      </c>
      <c r="C55" t="s">
        <v>101</v>
      </c>
      <c r="D55" t="s">
        <v>238</v>
      </c>
    </row>
    <row r="56" spans="1:4" x14ac:dyDescent="0.25">
      <c r="A56" s="1">
        <v>54</v>
      </c>
      <c r="B56" t="s">
        <v>235</v>
      </c>
      <c r="C56" t="s">
        <v>207</v>
      </c>
      <c r="D56" t="s">
        <v>238</v>
      </c>
    </row>
    <row r="57" spans="1:4" x14ac:dyDescent="0.25">
      <c r="A57" s="1">
        <v>55</v>
      </c>
      <c r="B57" t="s">
        <v>235</v>
      </c>
      <c r="C57" t="s">
        <v>208</v>
      </c>
      <c r="D57" t="s">
        <v>238</v>
      </c>
    </row>
    <row r="58" spans="1:4" x14ac:dyDescent="0.25">
      <c r="A58" s="1">
        <v>56</v>
      </c>
      <c r="B58" t="s">
        <v>235</v>
      </c>
      <c r="C58" t="s">
        <v>209</v>
      </c>
      <c r="D58" t="s">
        <v>238</v>
      </c>
    </row>
    <row r="59" spans="1:4" x14ac:dyDescent="0.25">
      <c r="A59" s="1">
        <v>57</v>
      </c>
      <c r="B59" t="s">
        <v>235</v>
      </c>
      <c r="C59" t="s">
        <v>210</v>
      </c>
      <c r="D59" t="s">
        <v>238</v>
      </c>
    </row>
    <row r="60" spans="1:4" x14ac:dyDescent="0.25">
      <c r="A60" s="1">
        <v>58</v>
      </c>
      <c r="B60" t="s">
        <v>235</v>
      </c>
      <c r="C60" t="s">
        <v>211</v>
      </c>
      <c r="D60" t="s">
        <v>238</v>
      </c>
    </row>
    <row r="61" spans="1:4" x14ac:dyDescent="0.25">
      <c r="A61" s="1">
        <v>59</v>
      </c>
      <c r="B61" t="s">
        <v>235</v>
      </c>
      <c r="C61" t="s">
        <v>212</v>
      </c>
      <c r="D61" t="s">
        <v>238</v>
      </c>
    </row>
    <row r="62" spans="1:4" x14ac:dyDescent="0.25">
      <c r="A62" s="1">
        <v>60</v>
      </c>
      <c r="B62" t="s">
        <v>235</v>
      </c>
      <c r="C62" t="s">
        <v>213</v>
      </c>
      <c r="D62" t="s">
        <v>238</v>
      </c>
    </row>
    <row r="63" spans="1:4" x14ac:dyDescent="0.25">
      <c r="A63" s="1">
        <v>61</v>
      </c>
      <c r="B63" t="s">
        <v>235</v>
      </c>
      <c r="C63" t="s">
        <v>214</v>
      </c>
      <c r="D63" t="s">
        <v>237</v>
      </c>
    </row>
    <row r="64" spans="1:4" x14ac:dyDescent="0.25">
      <c r="A64" s="1">
        <v>62</v>
      </c>
      <c r="B64" t="s">
        <v>235</v>
      </c>
      <c r="C64" t="s">
        <v>215</v>
      </c>
      <c r="D64" t="s">
        <v>238</v>
      </c>
    </row>
    <row r="65" spans="1:4" x14ac:dyDescent="0.25">
      <c r="A65" s="1">
        <v>63</v>
      </c>
      <c r="B65" t="s">
        <v>235</v>
      </c>
      <c r="C65" t="s">
        <v>216</v>
      </c>
      <c r="D65" t="s">
        <v>238</v>
      </c>
    </row>
    <row r="66" spans="1:4" x14ac:dyDescent="0.25">
      <c r="A66" s="1">
        <v>64</v>
      </c>
      <c r="B66" t="s">
        <v>235</v>
      </c>
      <c r="C66" t="s">
        <v>217</v>
      </c>
      <c r="D66" t="s">
        <v>238</v>
      </c>
    </row>
    <row r="67" spans="1:4" x14ac:dyDescent="0.25">
      <c r="A67" s="1">
        <v>65</v>
      </c>
      <c r="B67" t="s">
        <v>235</v>
      </c>
      <c r="C67" t="s">
        <v>218</v>
      </c>
      <c r="D67" t="s">
        <v>238</v>
      </c>
    </row>
    <row r="68" spans="1:4" x14ac:dyDescent="0.25">
      <c r="A68" s="1">
        <v>66</v>
      </c>
      <c r="B68" t="s">
        <v>235</v>
      </c>
      <c r="C68" t="s">
        <v>219</v>
      </c>
      <c r="D68" t="s">
        <v>238</v>
      </c>
    </row>
    <row r="69" spans="1:4" x14ac:dyDescent="0.25">
      <c r="A69" s="1">
        <v>67</v>
      </c>
      <c r="B69" t="s">
        <v>235</v>
      </c>
      <c r="C69" t="s">
        <v>220</v>
      </c>
      <c r="D69" t="s">
        <v>238</v>
      </c>
    </row>
    <row r="70" spans="1:4" x14ac:dyDescent="0.25">
      <c r="A70" s="1">
        <v>68</v>
      </c>
      <c r="B70" t="s">
        <v>235</v>
      </c>
      <c r="C70" t="s">
        <v>221</v>
      </c>
      <c r="D70" t="s">
        <v>239</v>
      </c>
    </row>
    <row r="71" spans="1:4" x14ac:dyDescent="0.25">
      <c r="A71" s="1">
        <v>69</v>
      </c>
      <c r="B71" t="s">
        <v>235</v>
      </c>
      <c r="C71" t="s">
        <v>126</v>
      </c>
      <c r="D71" t="s">
        <v>240</v>
      </c>
    </row>
    <row r="72" spans="1:4" x14ac:dyDescent="0.25">
      <c r="A72" s="1">
        <v>70</v>
      </c>
      <c r="B72" t="s">
        <v>235</v>
      </c>
      <c r="C72" t="s">
        <v>125</v>
      </c>
      <c r="D72" t="s">
        <v>238</v>
      </c>
    </row>
    <row r="73" spans="1:4" x14ac:dyDescent="0.25">
      <c r="A73" s="1">
        <v>71</v>
      </c>
      <c r="B73" t="s">
        <v>235</v>
      </c>
      <c r="C73" t="s">
        <v>4</v>
      </c>
      <c r="D73" t="s">
        <v>239</v>
      </c>
    </row>
    <row r="74" spans="1:4" x14ac:dyDescent="0.25">
      <c r="A74" s="1">
        <v>72</v>
      </c>
      <c r="B74" t="s">
        <v>235</v>
      </c>
      <c r="C74" t="s">
        <v>222</v>
      </c>
      <c r="D74" t="s">
        <v>238</v>
      </c>
    </row>
    <row r="75" spans="1:4" x14ac:dyDescent="0.25">
      <c r="A75" s="1">
        <v>73</v>
      </c>
      <c r="B75" t="s">
        <v>235</v>
      </c>
      <c r="C75" t="s">
        <v>127</v>
      </c>
      <c r="D75" t="s">
        <v>238</v>
      </c>
    </row>
    <row r="76" spans="1:4" x14ac:dyDescent="0.25">
      <c r="A76" s="1">
        <v>74</v>
      </c>
      <c r="B76" t="s">
        <v>236</v>
      </c>
      <c r="C76" t="s">
        <v>226</v>
      </c>
      <c r="D76" t="s">
        <v>238</v>
      </c>
    </row>
    <row r="77" spans="1:4" x14ac:dyDescent="0.25">
      <c r="A77" s="1">
        <v>75</v>
      </c>
      <c r="B77" t="s">
        <v>236</v>
      </c>
      <c r="C77" t="s">
        <v>227</v>
      </c>
      <c r="D77" t="s">
        <v>238</v>
      </c>
    </row>
    <row r="78" spans="1:4" x14ac:dyDescent="0.25">
      <c r="A78" s="1">
        <v>76</v>
      </c>
      <c r="B78" t="s">
        <v>236</v>
      </c>
      <c r="C78" t="s">
        <v>228</v>
      </c>
      <c r="D78" t="s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/>
  </sheetViews>
  <sheetFormatPr defaultRowHeight="15" x14ac:dyDescent="0.25"/>
  <sheetData>
    <row r="1" spans="1:8" x14ac:dyDescent="0.25">
      <c r="B1" s="1" t="s">
        <v>241</v>
      </c>
      <c r="C1" s="1" t="s">
        <v>242</v>
      </c>
      <c r="D1" s="1" t="s">
        <v>243</v>
      </c>
      <c r="E1" s="1" t="s">
        <v>244</v>
      </c>
      <c r="F1" s="1" t="s">
        <v>0</v>
      </c>
      <c r="G1" s="1" t="s">
        <v>245</v>
      </c>
      <c r="H1" s="1" t="s">
        <v>101</v>
      </c>
    </row>
    <row r="2" spans="1:8" x14ac:dyDescent="0.25">
      <c r="A2" s="1">
        <v>0</v>
      </c>
      <c r="B2" t="s">
        <v>246</v>
      </c>
      <c r="C2" t="s">
        <v>247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bus</vt:lpstr>
      <vt:lpstr>load</vt:lpstr>
      <vt:lpstr>gen</vt:lpstr>
      <vt:lpstr>ext_grid</vt:lpstr>
      <vt:lpstr>line</vt:lpstr>
      <vt:lpstr>trafo</vt:lpstr>
      <vt:lpstr>bus_geodata</vt:lpstr>
      <vt:lpstr>dtypes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van Rhee</cp:lastModifiedBy>
  <dcterms:created xsi:type="dcterms:W3CDTF">2025-10-07T08:59:31Z</dcterms:created>
  <dcterms:modified xsi:type="dcterms:W3CDTF">2026-01-08T23:01:57Z</dcterms:modified>
</cp:coreProperties>
</file>