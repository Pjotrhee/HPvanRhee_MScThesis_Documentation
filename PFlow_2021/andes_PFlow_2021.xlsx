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ete\Documents\pieter\school\studie\Master\THESIS\CODE\HPvanRhee_MScThesis_Documentation\Modeling_Documentation\pp_andes_2021\"/>
    </mc:Choice>
  </mc:AlternateContent>
  <xr:revisionPtr revIDLastSave="0" documentId="13_ncr:1_{1D0C9329-98BF-44EE-A3B3-69D23AD523F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us" sheetId="1" r:id="rId1"/>
    <sheet name="PV" sheetId="3" r:id="rId2"/>
    <sheet name="Slack" sheetId="4" r:id="rId3"/>
    <sheet name="Lin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M2" i="4"/>
  <c r="L2" i="4"/>
  <c r="K2" i="4"/>
  <c r="N3" i="3"/>
  <c r="N4" i="3"/>
  <c r="N5" i="3"/>
  <c r="N6" i="3"/>
  <c r="N7" i="3"/>
  <c r="N8" i="3"/>
  <c r="N9" i="3"/>
  <c r="N10" i="3"/>
  <c r="N2" i="3"/>
  <c r="M3" i="3"/>
  <c r="M4" i="3"/>
  <c r="M5" i="3"/>
  <c r="M6" i="3"/>
  <c r="M7" i="3"/>
  <c r="M8" i="3"/>
  <c r="M9" i="3"/>
  <c r="M10" i="3"/>
  <c r="M2" i="3"/>
  <c r="L3" i="3"/>
  <c r="L4" i="3"/>
  <c r="L5" i="3"/>
  <c r="L6" i="3"/>
  <c r="L7" i="3"/>
  <c r="L8" i="3"/>
  <c r="L9" i="3"/>
  <c r="L10" i="3"/>
  <c r="L2" i="3"/>
  <c r="K3" i="3"/>
  <c r="K4" i="3"/>
  <c r="K5" i="3"/>
  <c r="K6" i="3"/>
  <c r="K7" i="3"/>
  <c r="K8" i="3"/>
  <c r="K9" i="3"/>
  <c r="K10" i="3"/>
  <c r="K2" i="3"/>
  <c r="T95" i="5"/>
  <c r="T96" i="5"/>
  <c r="T94" i="5"/>
</calcChain>
</file>

<file path=xl/sharedStrings.xml><?xml version="1.0" encoding="utf-8"?>
<sst xmlns="http://schemas.openxmlformats.org/spreadsheetml/2006/main" count="322" uniqueCount="286">
  <si>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</si>
  <si>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</si>
  <si>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</si>
  <si>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</si>
  <si>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</si>
  <si>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</si>
  <si>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</si>
  <si>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</si>
  <si>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</si>
  <si>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</si>
  <si>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</si>
  <si>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</si>
  <si>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</si>
  <si>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</si>
  <si>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</t>
  </si>
  <si>
    <t>p0</t>
  </si>
  <si>
    <t>q0</t>
  </si>
  <si>
    <t>Sn</t>
  </si>
  <si>
    <t>busr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</si>
  <si>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</si>
  <si>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</si>
  <si>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</si>
  <si>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</si>
  <si>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</si>
  <si>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</si>
  <si>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</si>
  <si>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</si>
  <si>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</si>
  <si>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</si>
  <si>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</si>
  <si>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</si>
  <si>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</si>
  <si>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</si>
  <si>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</si>
  <si>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</si>
  <si>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</si>
  <si>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</si>
  <si>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</si>
  <si>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</si>
  <si>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</si>
  <si>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</si>
  <si>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Line_0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</si>
  <si>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</si>
  <si>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</si>
  <si>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</si>
  <si>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</si>
  <si>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</si>
  <si>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</si>
  <si>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</si>
  <si>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</si>
  <si>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</si>
  <si>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</si>
  <si>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</si>
  <si>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</si>
  <si>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</si>
  <si>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</si>
  <si>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EEM220</t>
  </si>
  <si>
    <t>ENS220</t>
  </si>
  <si>
    <t>HSW220</t>
  </si>
  <si>
    <t>LSM220</t>
  </si>
  <si>
    <t>MEE220</t>
  </si>
  <si>
    <t>OHK220</t>
  </si>
  <si>
    <t>RBB220</t>
  </si>
  <si>
    <t>VVL220</t>
  </si>
  <si>
    <t>WEW220</t>
  </si>
  <si>
    <t>ZYV220</t>
  </si>
  <si>
    <t>BKK380</t>
  </si>
  <si>
    <t>BSL380</t>
  </si>
  <si>
    <t>BVW380</t>
  </si>
  <si>
    <t>BWK380</t>
  </si>
  <si>
    <t>CST380</t>
  </si>
  <si>
    <t>DIM380</t>
  </si>
  <si>
    <t>DOD380</t>
  </si>
  <si>
    <t>DTC380</t>
  </si>
  <si>
    <t>EEM380</t>
  </si>
  <si>
    <t>EHV380</t>
  </si>
  <si>
    <t>ENS380</t>
  </si>
  <si>
    <t>EOS380</t>
  </si>
  <si>
    <t>GT380</t>
  </si>
  <si>
    <t>HGL380</t>
  </si>
  <si>
    <t>KIJ380</t>
  </si>
  <si>
    <t>LLS380</t>
  </si>
  <si>
    <t>MBT380</t>
  </si>
  <si>
    <t>MEE380</t>
  </si>
  <si>
    <t>MVL380</t>
  </si>
  <si>
    <t>OZN380</t>
  </si>
  <si>
    <t>RLL380</t>
  </si>
  <si>
    <t>VHZ380</t>
  </si>
  <si>
    <t>WL380</t>
  </si>
  <si>
    <t>WTR380</t>
  </si>
  <si>
    <t>ZL380</t>
  </si>
  <si>
    <t>BritNed</t>
  </si>
  <si>
    <t>COBRA</t>
  </si>
  <si>
    <t>NorNed</t>
  </si>
  <si>
    <t>DIL380</t>
  </si>
  <si>
    <t>GNA380</t>
  </si>
  <si>
    <t>NDR380</t>
  </si>
  <si>
    <t>RMK380</t>
  </si>
  <si>
    <t>SDF380</t>
  </si>
  <si>
    <t>VYK380</t>
  </si>
  <si>
    <t>ZVL380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</si>
  <si>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</si>
  <si>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</si>
  <si>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</si>
  <si>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</si>
  <si>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</si>
  <si>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</si>
  <si>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</si>
  <si>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</si>
  <si>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</si>
  <si>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</si>
  <si>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</si>
  <si>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</si>
  <si>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</si>
  <si>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</si>
  <si>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</si>
  <si>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</si>
  <si>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</si>
  <si>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</si>
  <si>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</si>
  <si>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</si>
  <si>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</si>
  <si>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</si>
  <si>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</si>
  <si>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</si>
  <si>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</si>
  <si>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</si>
  <si>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</si>
  <si>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</si>
  <si>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</si>
  <si>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</si>
  <si>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</si>
  <si>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</si>
  <si>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</si>
  <si>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</si>
  <si>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</si>
  <si>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</si>
  <si>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</si>
  <si>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</si>
  <si>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</si>
  <si>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</si>
  <si>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</si>
  <si>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</si>
  <si>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</si>
  <si>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</si>
  <si>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</si>
  <si>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</si>
  <si>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</si>
  <si>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</si>
  <si>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</si>
  <si>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</si>
  <si>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</si>
  <si>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</si>
  <si>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</si>
  <si>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</si>
  <si>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</si>
  <si>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</si>
  <si>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</si>
  <si>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</si>
  <si>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</si>
  <si>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</si>
  <si>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</si>
  <si>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</si>
  <si>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</si>
  <si>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</si>
  <si>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</si>
  <si>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</si>
  <si>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</si>
  <si>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</si>
  <si>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</si>
  <si>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</si>
  <si>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</si>
  <si>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</si>
  <si>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</si>
  <si>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</si>
  <si>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</si>
  <si>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</si>
  <si>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</si>
  <si>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EEM220-RBB220-W</t>
  </si>
  <si>
    <t>EEM220-RBB220-Z</t>
  </si>
  <si>
    <t>HSW220-ENS220-W</t>
  </si>
  <si>
    <t>HSW220-ENS220-Z</t>
  </si>
  <si>
    <t>LSM220-VVL220-W</t>
  </si>
  <si>
    <t>LSM220-VVL220-Z</t>
  </si>
  <si>
    <t>LSM220-OHK220-W</t>
  </si>
  <si>
    <t>LSM220-OHK220-Z</t>
  </si>
  <si>
    <t>OHK220-ENS220-W</t>
  </si>
  <si>
    <t>OHK220-ENS220-Z</t>
  </si>
  <si>
    <t>RBB220-WEW220-G</t>
  </si>
  <si>
    <t>RBB220-WEW220-P</t>
  </si>
  <si>
    <t>VVL220-EEM220-G</t>
  </si>
  <si>
    <t>VVL220-RBB220-W</t>
  </si>
  <si>
    <t>VVL220-RBB220-Z</t>
  </si>
  <si>
    <t>VVL220-ZYV220-W</t>
  </si>
  <si>
    <t>VVL220-ZYV220-Z</t>
  </si>
  <si>
    <t>WEW220-MEE220-B</t>
  </si>
  <si>
    <t>WEW220-MEE220-O</t>
  </si>
  <si>
    <t>ZYV220-HSW220-W</t>
  </si>
  <si>
    <t>ZYV220-HSW220-Z</t>
  </si>
  <si>
    <t>BKK380-DIM380-W</t>
  </si>
  <si>
    <t>BSL380-RLL380-G</t>
  </si>
  <si>
    <t>BSL380-RLL380-Z</t>
  </si>
  <si>
    <t>BVW380-OZN380-W</t>
  </si>
  <si>
    <t>BVW380-OZN380-Z</t>
  </si>
  <si>
    <t>BVW380-VHZ380-W</t>
  </si>
  <si>
    <t>BVW380-VHZ380-Z</t>
  </si>
  <si>
    <t>BWK380-VHZ380-O</t>
  </si>
  <si>
    <t>BWK380-VHZ380-P</t>
  </si>
  <si>
    <t>CST380-KIJ380-W</t>
  </si>
  <si>
    <t>CST380-KIJ380-Z</t>
  </si>
  <si>
    <t>DIM380-LLS380-W</t>
  </si>
  <si>
    <t>DIM380-LLS380-Z</t>
  </si>
  <si>
    <t>DOD380-DTC380-W</t>
  </si>
  <si>
    <t>DOD380-DTC380-Z</t>
  </si>
  <si>
    <t>DTC380-HGL380-W</t>
  </si>
  <si>
    <t>DTC380-HGL380-Z</t>
  </si>
  <si>
    <t>DTC380-NDR380-W</t>
  </si>
  <si>
    <t>DTC380-NDR380-Z</t>
  </si>
  <si>
    <t>EEM380-MEE380-W</t>
  </si>
  <si>
    <t>EEM380-MEE380-Z</t>
  </si>
  <si>
    <t>ENS380-ZL380-W</t>
  </si>
  <si>
    <t>ENS380-ZL380-Z</t>
  </si>
  <si>
    <t>EOS380-EEM380-W</t>
  </si>
  <si>
    <t>EOS380-EEM380-Z</t>
  </si>
  <si>
    <t>GNA380-HGL380-W</t>
  </si>
  <si>
    <t>GNA380-HGL380-Z</t>
  </si>
  <si>
    <t>GT380-EHV380-G</t>
  </si>
  <si>
    <t>GT380-EHV380-W</t>
  </si>
  <si>
    <t>GT380-EHV380-Z</t>
  </si>
  <si>
    <t>GT380-RLL380-W</t>
  </si>
  <si>
    <t>GT380-RLL380-Z</t>
  </si>
  <si>
    <t>KIJ380-BKK380-W</t>
  </si>
  <si>
    <t>KIJ380-BWK380-W</t>
  </si>
  <si>
    <t>KIJ380-BWK380-Z</t>
  </si>
  <si>
    <t>KIJ380-GT380-W</t>
  </si>
  <si>
    <t>KIJ380-GT380-Z</t>
  </si>
  <si>
    <t>KIJ380-OZN380-Z</t>
  </si>
  <si>
    <t>LLS380-ENS380-W</t>
  </si>
  <si>
    <t>LLS380-ENS380-Z</t>
  </si>
  <si>
    <t>MBT380-DOD380-W</t>
  </si>
  <si>
    <t>MBT380-DOD380-Z</t>
  </si>
  <si>
    <t>MBT380-EHV380-W</t>
  </si>
  <si>
    <t>MBT380-EHV380-Z</t>
  </si>
  <si>
    <t>MBT380-RMK380-W</t>
  </si>
  <si>
    <t>MBT380-SDF380-Z</t>
  </si>
  <si>
    <t>MEE380-DIL380-W</t>
  </si>
  <si>
    <t>MEE380-DIL380-Z</t>
  </si>
  <si>
    <t>MVL380-CST380-W</t>
  </si>
  <si>
    <t>MVL380-CST380-Z</t>
  </si>
  <si>
    <t>OZN380-DIM380-G</t>
  </si>
  <si>
    <t>RLL380-ZVL380-G</t>
  </si>
  <si>
    <t>RLL380-ZVL380-W</t>
  </si>
  <si>
    <t>VYK380-MBT380-W</t>
  </si>
  <si>
    <t>VYK380-MBT380-Z</t>
  </si>
  <si>
    <t>WL380-MVL380-W</t>
  </si>
  <si>
    <t>WL380-MVL380-Z</t>
  </si>
  <si>
    <t>WTR380-BWK380-W</t>
  </si>
  <si>
    <t>WTR380-BWK380-Z</t>
  </si>
  <si>
    <t>WTR380-WL380-W</t>
  </si>
  <si>
    <t>WTR380-WL380-Z</t>
  </si>
  <si>
    <t>ZL380-HGL380-W</t>
  </si>
  <si>
    <t>ZL380-HGL380-Z</t>
  </si>
  <si>
    <t>ZL380-MEE380-W</t>
  </si>
  <si>
    <t>ZL380-MEE380-Z</t>
  </si>
  <si>
    <t>COBRA-EOS380-W</t>
  </si>
  <si>
    <t>COBRA-EOS380-Z</t>
  </si>
  <si>
    <t>NorNed-EEM380-W</t>
  </si>
  <si>
    <t>NorNed-EEM380-Z</t>
  </si>
  <si>
    <t>BritNed-MVL380-W</t>
  </si>
  <si>
    <t>BritNed-MVL380-Z</t>
  </si>
  <si>
    <t>380kV Germany (Diele) - Groningen</t>
  </si>
  <si>
    <t>380kV Germany (Gronau) - Enschede</t>
  </si>
  <si>
    <t>380kV Germany (Rommerskirchen) - Roermond</t>
  </si>
  <si>
    <t>380kV Germany (Siersdorf) - Roermond</t>
  </si>
  <si>
    <t>380kV Belgium (Van Eyck) - Maasbracht</t>
  </si>
  <si>
    <t>380kV Belgium (Zandvliet) - Rilland</t>
  </si>
  <si>
    <t>380kV Britain (BritNed) - Maasvlakte</t>
  </si>
  <si>
    <t>380kV Denmark (COBRA) - Eemshaven</t>
  </si>
  <si>
    <t>380kV Norway (NorNed) - Eemshaven</t>
  </si>
  <si>
    <t>380kV Germany (Wesel) - Doetichem</t>
  </si>
  <si>
    <t>Transformer EEM380 - EEM220</t>
  </si>
  <si>
    <t>Transformer ENS380 - ENS220</t>
  </si>
  <si>
    <t>Transformer MEE380 - MEE220</t>
  </si>
  <si>
    <t>Line_92</t>
  </si>
  <si>
    <t>Line_93</t>
  </si>
  <si>
    <t>Line_94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</si>
</sst>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3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pane ySplit="1" topLeftCell="A2" activePane="bottomLeft" state="frozen"/>
      <selection pane="bottomLeft" activeCell="H2" sqref="H2:I47"/>
    </sheetView>
  </sheetViews>
  <sheetFormatPr defaultColWidth="8.85546875" defaultRowHeight="15" x14ac:dyDescent="0.25"/>
  <sheetData>
    <row r="1" spans="1:14" x14ac:dyDescent="0.25">
      <c r="A1" s="1" t="s">
        <v>13</v>
      </c>
      <c r="B1" s="2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0</v>
      </c>
      <c r="C2">
        <v>1</v>
      </c>
      <c r="D2" t="s">
        <v>56</v>
      </c>
      <c r="E2">
        <v>220</v>
      </c>
      <c r="F2">
        <v>1.05</v>
      </c>
      <c r="G2">
        <v>0.95</v>
      </c>
      <c r="J2">
        <v>6.8741753418525402</v>
      </c>
      <c r="K2">
        <v>53.424450347563798</v>
      </c>
    </row>
    <row r="3" spans="1:14" x14ac:dyDescent="0.25">
      <c r="A3" s="1">
        <v>1</v>
      </c>
      <c r="B3">
        <v>1</v>
      </c>
      <c r="C3">
        <v>1</v>
      </c>
      <c r="D3" t="s">
        <v>57</v>
      </c>
      <c r="E3">
        <v>220</v>
      </c>
      <c r="F3">
        <v>1.05</v>
      </c>
      <c r="G3">
        <v>0.95</v>
      </c>
      <c r="J3">
        <v>5.8111360417209097</v>
      </c>
      <c r="K3">
        <v>52.6185276050699</v>
      </c>
    </row>
    <row r="4" spans="1:14" x14ac:dyDescent="0.25">
      <c r="A4" s="1">
        <v>2</v>
      </c>
      <c r="B4">
        <v>2</v>
      </c>
      <c r="C4">
        <v>1</v>
      </c>
      <c r="D4" t="s">
        <v>58</v>
      </c>
      <c r="E4">
        <v>220</v>
      </c>
      <c r="F4">
        <v>1.05</v>
      </c>
      <c r="G4">
        <v>0.95</v>
      </c>
      <c r="J4">
        <v>6.1883993615289503</v>
      </c>
      <c r="K4">
        <v>52.532048142907001</v>
      </c>
    </row>
    <row r="5" spans="1:14" x14ac:dyDescent="0.25">
      <c r="A5" s="1">
        <v>3</v>
      </c>
      <c r="B5">
        <v>3</v>
      </c>
      <c r="C5">
        <v>1</v>
      </c>
      <c r="D5" t="s">
        <v>59</v>
      </c>
      <c r="E5">
        <v>220</v>
      </c>
      <c r="F5">
        <v>1.05</v>
      </c>
      <c r="G5">
        <v>0.95</v>
      </c>
      <c r="J5">
        <v>5.8772614710807396</v>
      </c>
      <c r="K5">
        <v>53.1899731328351</v>
      </c>
    </row>
    <row r="6" spans="1:14" x14ac:dyDescent="0.25">
      <c r="A6" s="1">
        <v>4</v>
      </c>
      <c r="B6">
        <v>4</v>
      </c>
      <c r="C6">
        <v>1</v>
      </c>
      <c r="D6" t="s">
        <v>60</v>
      </c>
      <c r="E6">
        <v>220</v>
      </c>
      <c r="F6">
        <v>1.05</v>
      </c>
      <c r="G6">
        <v>0.95</v>
      </c>
      <c r="J6">
        <v>6.9463037007553901</v>
      </c>
      <c r="K6">
        <v>53.123551284554601</v>
      </c>
    </row>
    <row r="7" spans="1:14" x14ac:dyDescent="0.25">
      <c r="A7" s="1">
        <v>5</v>
      </c>
      <c r="B7">
        <v>5</v>
      </c>
      <c r="C7">
        <v>1</v>
      </c>
      <c r="D7" t="s">
        <v>61</v>
      </c>
      <c r="E7">
        <v>220</v>
      </c>
      <c r="F7">
        <v>1.05</v>
      </c>
      <c r="G7">
        <v>0.95</v>
      </c>
      <c r="J7">
        <v>5.8733149947958596</v>
      </c>
      <c r="K7">
        <v>52.973899573106102</v>
      </c>
    </row>
    <row r="8" spans="1:14" x14ac:dyDescent="0.25">
      <c r="A8" s="1">
        <v>6</v>
      </c>
      <c r="B8">
        <v>6</v>
      </c>
      <c r="C8">
        <v>1</v>
      </c>
      <c r="D8" t="s">
        <v>62</v>
      </c>
      <c r="E8">
        <v>220</v>
      </c>
      <c r="F8">
        <v>1.05</v>
      </c>
      <c r="G8">
        <v>0.95</v>
      </c>
      <c r="J8">
        <v>6.87387951041325</v>
      </c>
      <c r="K8">
        <v>53.424161379257903</v>
      </c>
    </row>
    <row r="9" spans="1:14" x14ac:dyDescent="0.25">
      <c r="A9" s="1">
        <v>7</v>
      </c>
      <c r="B9">
        <v>7</v>
      </c>
      <c r="C9">
        <v>1</v>
      </c>
      <c r="D9" t="s">
        <v>63</v>
      </c>
      <c r="E9">
        <v>220</v>
      </c>
      <c r="F9">
        <v>1.05</v>
      </c>
      <c r="G9">
        <v>0.95</v>
      </c>
      <c r="J9">
        <v>6.4748641287746498</v>
      </c>
      <c r="K9">
        <v>53.210517280005398</v>
      </c>
    </row>
    <row r="10" spans="1:14" x14ac:dyDescent="0.25">
      <c r="A10" s="1">
        <v>8</v>
      </c>
      <c r="B10">
        <v>8</v>
      </c>
      <c r="C10">
        <v>1</v>
      </c>
      <c r="D10" t="s">
        <v>64</v>
      </c>
      <c r="E10">
        <v>220</v>
      </c>
      <c r="F10">
        <v>1.05</v>
      </c>
      <c r="G10">
        <v>0.95</v>
      </c>
      <c r="J10">
        <v>6.9576607136134196</v>
      </c>
      <c r="K10">
        <v>53.302216316255603</v>
      </c>
    </row>
    <row r="11" spans="1:14" x14ac:dyDescent="0.25">
      <c r="A11" s="1">
        <v>9</v>
      </c>
      <c r="B11">
        <v>9</v>
      </c>
      <c r="C11">
        <v>1</v>
      </c>
      <c r="D11" t="s">
        <v>65</v>
      </c>
      <c r="E11">
        <v>220</v>
      </c>
      <c r="F11">
        <v>1.05</v>
      </c>
      <c r="G11">
        <v>0.95</v>
      </c>
      <c r="J11">
        <v>6.5227311161215198</v>
      </c>
      <c r="K11">
        <v>53.009138205886401</v>
      </c>
    </row>
    <row r="12" spans="1:14" x14ac:dyDescent="0.25">
      <c r="A12" s="1">
        <v>10</v>
      </c>
      <c r="B12">
        <v>10</v>
      </c>
      <c r="C12">
        <v>1</v>
      </c>
      <c r="D12" t="s">
        <v>66</v>
      </c>
      <c r="E12">
        <v>380</v>
      </c>
      <c r="F12">
        <v>1.05</v>
      </c>
      <c r="G12">
        <v>0.95</v>
      </c>
      <c r="J12">
        <v>4.98639517558777</v>
      </c>
      <c r="K12">
        <v>52.160141735408601</v>
      </c>
    </row>
    <row r="13" spans="1:14" x14ac:dyDescent="0.25">
      <c r="A13" s="1">
        <v>11</v>
      </c>
      <c r="B13">
        <v>11</v>
      </c>
      <c r="C13">
        <v>1</v>
      </c>
      <c r="D13" s="8" t="s">
        <v>67</v>
      </c>
      <c r="E13">
        <v>380</v>
      </c>
      <c r="F13">
        <v>1.05</v>
      </c>
      <c r="G13">
        <v>0.95</v>
      </c>
      <c r="J13">
        <v>3.7309742947595099</v>
      </c>
      <c r="K13">
        <v>51.433105186705497</v>
      </c>
    </row>
    <row r="14" spans="1:14" x14ac:dyDescent="0.25">
      <c r="A14" s="1">
        <v>12</v>
      </c>
      <c r="B14">
        <v>12</v>
      </c>
      <c r="C14">
        <v>1</v>
      </c>
      <c r="D14" s="8" t="s">
        <v>68</v>
      </c>
      <c r="E14">
        <v>380</v>
      </c>
      <c r="F14">
        <v>1.05</v>
      </c>
      <c r="G14">
        <v>0.95</v>
      </c>
      <c r="J14">
        <v>4.67750993239446</v>
      </c>
      <c r="K14">
        <v>52.4725733177347</v>
      </c>
    </row>
    <row r="15" spans="1:14" x14ac:dyDescent="0.25">
      <c r="A15" s="1">
        <v>13</v>
      </c>
      <c r="B15">
        <v>13</v>
      </c>
      <c r="C15">
        <v>1</v>
      </c>
      <c r="D15" s="8" t="s">
        <v>69</v>
      </c>
      <c r="E15">
        <v>380</v>
      </c>
      <c r="F15">
        <v>1.05</v>
      </c>
      <c r="G15">
        <v>0.95</v>
      </c>
      <c r="J15">
        <v>4.5329988026835899</v>
      </c>
      <c r="K15">
        <v>52.035745464765498</v>
      </c>
    </row>
    <row r="16" spans="1:14" x14ac:dyDescent="0.25">
      <c r="A16" s="1">
        <v>14</v>
      </c>
      <c r="B16">
        <v>14</v>
      </c>
      <c r="C16">
        <v>1</v>
      </c>
      <c r="D16" s="8" t="s">
        <v>70</v>
      </c>
      <c r="E16">
        <v>380</v>
      </c>
      <c r="F16">
        <v>1.05</v>
      </c>
      <c r="G16">
        <v>0.95</v>
      </c>
      <c r="J16">
        <v>4.7499228404801501</v>
      </c>
      <c r="K16">
        <v>51.812743207555201</v>
      </c>
    </row>
    <row r="17" spans="1:11" x14ac:dyDescent="0.25">
      <c r="A17" s="1">
        <v>15</v>
      </c>
      <c r="B17">
        <v>15</v>
      </c>
      <c r="C17">
        <v>1</v>
      </c>
      <c r="D17" s="8" t="s">
        <v>71</v>
      </c>
      <c r="E17">
        <v>380</v>
      </c>
      <c r="F17">
        <v>1.05</v>
      </c>
      <c r="G17">
        <v>0.95</v>
      </c>
      <c r="J17">
        <v>5.0159516605650696</v>
      </c>
      <c r="K17">
        <v>52.337667341543103</v>
      </c>
    </row>
    <row r="18" spans="1:11" x14ac:dyDescent="0.25">
      <c r="A18" s="1">
        <v>16</v>
      </c>
      <c r="B18">
        <v>16</v>
      </c>
      <c r="C18">
        <v>1</v>
      </c>
      <c r="D18" s="8" t="s">
        <v>72</v>
      </c>
      <c r="E18">
        <v>380</v>
      </c>
      <c r="F18">
        <v>1.05</v>
      </c>
      <c r="G18">
        <v>0.95</v>
      </c>
      <c r="J18">
        <v>5.66206716478092</v>
      </c>
      <c r="K18">
        <v>51.926531011989397</v>
      </c>
    </row>
    <row r="19" spans="1:11" x14ac:dyDescent="0.25">
      <c r="A19" s="1">
        <v>17</v>
      </c>
      <c r="B19">
        <v>17</v>
      </c>
      <c r="C19">
        <v>1</v>
      </c>
      <c r="D19" s="8" t="s">
        <v>73</v>
      </c>
      <c r="E19">
        <v>380</v>
      </c>
      <c r="F19">
        <v>1.05</v>
      </c>
      <c r="G19">
        <v>0.95</v>
      </c>
      <c r="J19">
        <v>6.2500878799822397</v>
      </c>
      <c r="K19">
        <v>51.980562127695599</v>
      </c>
    </row>
    <row r="20" spans="1:11" x14ac:dyDescent="0.25">
      <c r="A20" s="1">
        <v>18</v>
      </c>
      <c r="B20">
        <v>18</v>
      </c>
      <c r="C20">
        <v>1</v>
      </c>
      <c r="D20" s="8" t="s">
        <v>74</v>
      </c>
      <c r="E20">
        <v>380</v>
      </c>
      <c r="F20">
        <v>1.05</v>
      </c>
      <c r="G20">
        <v>0.95</v>
      </c>
      <c r="J20">
        <v>6.8740854573509598</v>
      </c>
      <c r="K20">
        <v>53.426045615282199</v>
      </c>
    </row>
    <row r="21" spans="1:11" x14ac:dyDescent="0.25">
      <c r="A21" s="1">
        <v>19</v>
      </c>
      <c r="B21">
        <v>19</v>
      </c>
      <c r="C21">
        <v>1</v>
      </c>
      <c r="D21" s="8" t="s">
        <v>75</v>
      </c>
      <c r="E21">
        <v>380</v>
      </c>
      <c r="F21">
        <v>1.05</v>
      </c>
      <c r="G21">
        <v>0.95</v>
      </c>
      <c r="J21">
        <v>5.5311222109938001</v>
      </c>
      <c r="K21">
        <v>51.448019248763302</v>
      </c>
    </row>
    <row r="22" spans="1:11" x14ac:dyDescent="0.25">
      <c r="A22" s="1">
        <v>20</v>
      </c>
      <c r="B22">
        <v>20</v>
      </c>
      <c r="C22">
        <v>1</v>
      </c>
      <c r="D22" s="8" t="s">
        <v>76</v>
      </c>
      <c r="E22">
        <v>380</v>
      </c>
      <c r="F22">
        <v>1.05</v>
      </c>
      <c r="G22">
        <v>0.95</v>
      </c>
      <c r="J22">
        <v>5.8100554232881203</v>
      </c>
      <c r="K22">
        <v>52.616037077495797</v>
      </c>
    </row>
    <row r="23" spans="1:11" x14ac:dyDescent="0.25">
      <c r="A23" s="1">
        <v>21</v>
      </c>
      <c r="B23">
        <v>21</v>
      </c>
      <c r="C23">
        <v>1</v>
      </c>
      <c r="D23" s="8" t="s">
        <v>77</v>
      </c>
      <c r="E23">
        <v>380</v>
      </c>
      <c r="F23">
        <v>1.05</v>
      </c>
      <c r="G23">
        <v>0.95</v>
      </c>
      <c r="J23">
        <v>6.8636609167040197</v>
      </c>
      <c r="K23">
        <v>53.436465567222697</v>
      </c>
    </row>
    <row r="24" spans="1:11" x14ac:dyDescent="0.25">
      <c r="A24" s="1">
        <v>22</v>
      </c>
      <c r="B24">
        <v>22</v>
      </c>
      <c r="C24">
        <v>1</v>
      </c>
      <c r="D24" s="8" t="s">
        <v>78</v>
      </c>
      <c r="E24">
        <v>380</v>
      </c>
      <c r="F24">
        <v>1.05</v>
      </c>
      <c r="G24">
        <v>0.95</v>
      </c>
      <c r="J24">
        <v>4.8345543452357997</v>
      </c>
      <c r="K24">
        <v>51.701497333879601</v>
      </c>
    </row>
    <row r="25" spans="1:11" x14ac:dyDescent="0.25">
      <c r="A25" s="1">
        <v>23</v>
      </c>
      <c r="B25">
        <v>23</v>
      </c>
      <c r="C25">
        <v>1</v>
      </c>
      <c r="D25" s="8" t="s">
        <v>79</v>
      </c>
      <c r="E25">
        <v>380</v>
      </c>
      <c r="F25">
        <v>1.05</v>
      </c>
      <c r="G25">
        <v>0.95</v>
      </c>
      <c r="J25">
        <v>6.75671639678679</v>
      </c>
      <c r="K25">
        <v>52.247883039638097</v>
      </c>
    </row>
    <row r="26" spans="1:11" x14ac:dyDescent="0.25">
      <c r="A26" s="1">
        <v>24</v>
      </c>
      <c r="B26">
        <v>24</v>
      </c>
      <c r="C26">
        <v>1</v>
      </c>
      <c r="D26" s="8" t="s">
        <v>80</v>
      </c>
      <c r="E26">
        <v>380</v>
      </c>
      <c r="F26">
        <v>1.05</v>
      </c>
      <c r="G26">
        <v>0.95</v>
      </c>
      <c r="J26">
        <v>4.6297180927097603</v>
      </c>
      <c r="K26">
        <v>51.913488247174698</v>
      </c>
    </row>
    <row r="27" spans="1:11" x14ac:dyDescent="0.25">
      <c r="A27" s="1">
        <v>25</v>
      </c>
      <c r="B27">
        <v>25</v>
      </c>
      <c r="C27">
        <v>1</v>
      </c>
      <c r="D27" s="8" t="s">
        <v>81</v>
      </c>
      <c r="E27">
        <v>380</v>
      </c>
      <c r="F27">
        <v>1.05</v>
      </c>
      <c r="G27">
        <v>0.95</v>
      </c>
      <c r="J27">
        <v>5.5408071313559297</v>
      </c>
      <c r="K27">
        <v>52.577122880197102</v>
      </c>
    </row>
    <row r="28" spans="1:11" x14ac:dyDescent="0.25">
      <c r="A28" s="1">
        <v>26</v>
      </c>
      <c r="B28">
        <v>26</v>
      </c>
      <c r="C28">
        <v>1</v>
      </c>
      <c r="D28" s="8" t="s">
        <v>82</v>
      </c>
      <c r="E28">
        <v>380</v>
      </c>
      <c r="F28">
        <v>1.05</v>
      </c>
      <c r="G28">
        <v>0.95</v>
      </c>
      <c r="J28">
        <v>5.9159697115685299</v>
      </c>
      <c r="K28">
        <v>51.149227746092102</v>
      </c>
    </row>
    <row r="29" spans="1:11" x14ac:dyDescent="0.25">
      <c r="A29" s="1">
        <v>27</v>
      </c>
      <c r="B29">
        <v>27</v>
      </c>
      <c r="C29">
        <v>1</v>
      </c>
      <c r="D29" s="8" t="s">
        <v>83</v>
      </c>
      <c r="E29">
        <v>380</v>
      </c>
      <c r="F29">
        <v>1.05</v>
      </c>
      <c r="G29">
        <v>0.95</v>
      </c>
      <c r="J29">
        <v>6.9489727500541001</v>
      </c>
      <c r="K29">
        <v>53.123682285841902</v>
      </c>
    </row>
    <row r="30" spans="1:11" x14ac:dyDescent="0.25">
      <c r="A30" s="1">
        <v>28</v>
      </c>
      <c r="B30">
        <v>28</v>
      </c>
      <c r="C30">
        <v>1</v>
      </c>
      <c r="D30" s="8" t="s">
        <v>84</v>
      </c>
      <c r="E30">
        <v>380</v>
      </c>
      <c r="F30">
        <v>1.05</v>
      </c>
      <c r="G30">
        <v>0.95</v>
      </c>
      <c r="J30">
        <v>4.0221011689426396</v>
      </c>
      <c r="K30">
        <v>51.9538951527664</v>
      </c>
    </row>
    <row r="31" spans="1:11" x14ac:dyDescent="0.25">
      <c r="A31" s="1">
        <v>29</v>
      </c>
      <c r="B31">
        <v>29</v>
      </c>
      <c r="C31">
        <v>1</v>
      </c>
      <c r="D31" s="8" t="s">
        <v>85</v>
      </c>
      <c r="E31">
        <v>380</v>
      </c>
      <c r="F31">
        <v>1.05</v>
      </c>
      <c r="G31">
        <v>0.95</v>
      </c>
      <c r="J31">
        <v>4.8773636120236503</v>
      </c>
      <c r="K31">
        <v>52.428256814446897</v>
      </c>
    </row>
    <row r="32" spans="1:11" x14ac:dyDescent="0.25">
      <c r="A32" s="1">
        <v>30</v>
      </c>
      <c r="B32">
        <v>30</v>
      </c>
      <c r="C32">
        <v>1</v>
      </c>
      <c r="D32" t="s">
        <v>86</v>
      </c>
      <c r="E32">
        <v>380</v>
      </c>
      <c r="F32">
        <v>1.05</v>
      </c>
      <c r="G32">
        <v>0.95</v>
      </c>
      <c r="J32">
        <v>4.2202728282944602</v>
      </c>
      <c r="K32">
        <v>51.422497626952897</v>
      </c>
    </row>
    <row r="33" spans="1:11" x14ac:dyDescent="0.25">
      <c r="A33" s="1">
        <v>31</v>
      </c>
      <c r="B33">
        <v>31</v>
      </c>
      <c r="C33">
        <v>1</v>
      </c>
      <c r="D33" s="8" t="s">
        <v>87</v>
      </c>
      <c r="E33">
        <v>380</v>
      </c>
      <c r="F33">
        <v>1.05</v>
      </c>
      <c r="G33">
        <v>0.95</v>
      </c>
      <c r="J33">
        <v>4.6939580135549601</v>
      </c>
      <c r="K33">
        <v>52.374120184045204</v>
      </c>
    </row>
    <row r="34" spans="1:11" x14ac:dyDescent="0.25">
      <c r="A34" s="1">
        <v>32</v>
      </c>
      <c r="B34">
        <v>32</v>
      </c>
      <c r="C34">
        <v>1</v>
      </c>
      <c r="D34" s="8" t="s">
        <v>88</v>
      </c>
      <c r="E34">
        <v>380</v>
      </c>
      <c r="F34">
        <v>1.05</v>
      </c>
      <c r="G34">
        <v>0.95</v>
      </c>
      <c r="J34">
        <v>4.2231635105570602</v>
      </c>
      <c r="K34">
        <v>51.982499826585297</v>
      </c>
    </row>
    <row r="35" spans="1:11" x14ac:dyDescent="0.25">
      <c r="A35" s="1">
        <v>33</v>
      </c>
      <c r="B35">
        <v>33</v>
      </c>
      <c r="C35">
        <v>1</v>
      </c>
      <c r="D35" s="8" t="s">
        <v>89</v>
      </c>
      <c r="E35">
        <v>380</v>
      </c>
      <c r="F35">
        <v>1.05</v>
      </c>
      <c r="G35">
        <v>0.95</v>
      </c>
      <c r="J35">
        <v>4.30579659471322</v>
      </c>
      <c r="K35">
        <v>52.0163675723662</v>
      </c>
    </row>
    <row r="36" spans="1:11" x14ac:dyDescent="0.25">
      <c r="A36" s="1">
        <v>34</v>
      </c>
      <c r="B36">
        <v>34</v>
      </c>
      <c r="C36">
        <v>1</v>
      </c>
      <c r="D36" s="8" t="s">
        <v>90</v>
      </c>
      <c r="E36">
        <v>380</v>
      </c>
      <c r="F36">
        <v>1.05</v>
      </c>
      <c r="G36">
        <v>0.95</v>
      </c>
      <c r="J36">
        <v>6.1896608860625397</v>
      </c>
      <c r="K36">
        <v>52.5311072562519</v>
      </c>
    </row>
    <row r="37" spans="1:11" x14ac:dyDescent="0.25">
      <c r="A37" s="1">
        <v>35</v>
      </c>
      <c r="B37">
        <v>35</v>
      </c>
      <c r="C37">
        <v>1</v>
      </c>
      <c r="D37" t="s">
        <v>91</v>
      </c>
      <c r="E37">
        <v>380</v>
      </c>
      <c r="F37">
        <v>1.05</v>
      </c>
      <c r="G37">
        <v>0.95</v>
      </c>
      <c r="J37">
        <v>4.0211829999999997</v>
      </c>
      <c r="K37">
        <v>51.957417</v>
      </c>
    </row>
    <row r="38" spans="1:11" x14ac:dyDescent="0.25">
      <c r="A38" s="1">
        <v>36</v>
      </c>
      <c r="B38">
        <v>36</v>
      </c>
      <c r="C38">
        <v>1</v>
      </c>
      <c r="D38" t="s">
        <v>92</v>
      </c>
      <c r="E38">
        <v>380</v>
      </c>
      <c r="F38">
        <v>1.05</v>
      </c>
      <c r="G38">
        <v>0.95</v>
      </c>
      <c r="J38">
        <v>6.8671119999999997</v>
      </c>
      <c r="K38">
        <v>53.435696999999998</v>
      </c>
    </row>
    <row r="39" spans="1:11" x14ac:dyDescent="0.25">
      <c r="A39" s="1">
        <v>37</v>
      </c>
      <c r="B39">
        <v>37</v>
      </c>
      <c r="C39">
        <v>1</v>
      </c>
      <c r="D39" t="s">
        <v>93</v>
      </c>
      <c r="E39">
        <v>380</v>
      </c>
      <c r="F39">
        <v>1.05</v>
      </c>
      <c r="G39">
        <v>0.95</v>
      </c>
      <c r="J39">
        <v>6.8665229999999999</v>
      </c>
      <c r="K39">
        <v>53.434562</v>
      </c>
    </row>
    <row r="40" spans="1:11" x14ac:dyDescent="0.25">
      <c r="A40" s="1">
        <v>38</v>
      </c>
      <c r="B40">
        <v>38</v>
      </c>
      <c r="C40">
        <v>1</v>
      </c>
      <c r="D40" t="s">
        <v>94</v>
      </c>
      <c r="E40">
        <v>380</v>
      </c>
      <c r="F40">
        <v>1.05</v>
      </c>
      <c r="G40">
        <v>0.95</v>
      </c>
      <c r="J40">
        <v>7.1894859999999996</v>
      </c>
      <c r="K40">
        <v>53.150091000000003</v>
      </c>
    </row>
    <row r="41" spans="1:11" x14ac:dyDescent="0.25">
      <c r="A41" s="1">
        <v>39</v>
      </c>
      <c r="B41">
        <v>39</v>
      </c>
      <c r="C41">
        <v>1</v>
      </c>
      <c r="D41" t="s">
        <v>95</v>
      </c>
      <c r="E41">
        <v>380</v>
      </c>
      <c r="F41">
        <v>1.05</v>
      </c>
      <c r="G41">
        <v>0.95</v>
      </c>
      <c r="J41">
        <v>6.9627559999999997</v>
      </c>
      <c r="K41">
        <v>52.194516999999998</v>
      </c>
    </row>
    <row r="42" spans="1:11" x14ac:dyDescent="0.25">
      <c r="A42" s="1">
        <v>40</v>
      </c>
      <c r="B42">
        <v>40</v>
      </c>
      <c r="C42">
        <v>1</v>
      </c>
      <c r="D42" t="s">
        <v>96</v>
      </c>
      <c r="E42">
        <v>380</v>
      </c>
      <c r="F42">
        <v>1.05</v>
      </c>
      <c r="G42">
        <v>0.95</v>
      </c>
      <c r="J42">
        <v>6.4496079999999996</v>
      </c>
      <c r="K42">
        <v>51.865383999999999</v>
      </c>
    </row>
    <row r="43" spans="1:11" x14ac:dyDescent="0.25">
      <c r="A43" s="1">
        <v>41</v>
      </c>
      <c r="B43">
        <v>41</v>
      </c>
      <c r="C43">
        <v>1</v>
      </c>
      <c r="D43" t="s">
        <v>97</v>
      </c>
      <c r="E43">
        <v>380</v>
      </c>
      <c r="F43">
        <v>1.05</v>
      </c>
      <c r="G43">
        <v>0.95</v>
      </c>
      <c r="J43">
        <v>6.0398350000000001</v>
      </c>
      <c r="K43">
        <v>51.098849000000001</v>
      </c>
    </row>
    <row r="44" spans="1:11" x14ac:dyDescent="0.25">
      <c r="A44" s="1">
        <v>42</v>
      </c>
      <c r="B44">
        <v>42</v>
      </c>
      <c r="C44">
        <v>1</v>
      </c>
      <c r="D44" t="s">
        <v>98</v>
      </c>
      <c r="E44">
        <v>380</v>
      </c>
      <c r="F44">
        <v>1.05</v>
      </c>
      <c r="G44">
        <v>0.95</v>
      </c>
      <c r="J44">
        <v>6.0396979999999996</v>
      </c>
      <c r="K44">
        <v>51.098717000000001</v>
      </c>
    </row>
    <row r="45" spans="1:11" x14ac:dyDescent="0.25">
      <c r="A45" s="1">
        <v>43</v>
      </c>
      <c r="B45">
        <v>43</v>
      </c>
      <c r="C45">
        <v>1</v>
      </c>
      <c r="D45" t="s">
        <v>99</v>
      </c>
      <c r="E45">
        <v>380</v>
      </c>
      <c r="F45">
        <v>1.05</v>
      </c>
      <c r="G45">
        <v>0.95</v>
      </c>
      <c r="J45">
        <v>5.814349</v>
      </c>
      <c r="K45">
        <v>51.120961000000001</v>
      </c>
    </row>
    <row r="46" spans="1:11" x14ac:dyDescent="0.25">
      <c r="A46" s="1">
        <v>44</v>
      </c>
      <c r="B46">
        <v>44</v>
      </c>
      <c r="C46">
        <v>1</v>
      </c>
      <c r="D46" t="s">
        <v>100</v>
      </c>
      <c r="E46">
        <v>380</v>
      </c>
      <c r="F46">
        <v>1.05</v>
      </c>
      <c r="G46">
        <v>0.95</v>
      </c>
      <c r="J46">
        <v>4.2481210000000003</v>
      </c>
      <c r="K46">
        <v>51.375079999999997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"/>
  <sheetViews>
    <sheetView tabSelected="1" workbookViewId="0">
      <pane ySplit="1" topLeftCell="A2" activePane="bottomLeft" state="frozen"/>
      <selection pane="bottomLeft" activeCell="N17" sqref="N17"/>
    </sheetView>
  </sheetViews>
  <sheetFormatPr defaultColWidth="8.85546875" defaultRowHeight="15" x14ac:dyDescent="0.25"/>
  <cols>
    <col min="4" max="4" width="43.5703125" bestFit="1" customWidth="1"/>
  </cols>
  <sheetData>
    <row r="1" spans="1:19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</row>
    <row r="2" spans="1:19" x14ac:dyDescent="0.25">
      <c r="A2" s="1">
        <v>0</v>
      </c>
      <c r="B2">
        <v>0</v>
      </c>
      <c r="C2">
        <v>1</v>
      </c>
      <c r="D2" t="s">
        <v>270</v>
      </c>
      <c r="E2">
        <v>1972</v>
      </c>
      <c r="F2">
        <v>380</v>
      </c>
      <c r="G2">
        <v>38</v>
      </c>
      <c r="K2">
        <f>E2/2000</f>
        <v>0.98599999999999999</v>
      </c>
      <c r="L2">
        <f>-K2</f>
        <v>-0.98599999999999999</v>
      </c>
      <c r="M2">
        <f>5000/2000</f>
        <v>2.5</v>
      </c>
      <c r="N2">
        <f>-M2</f>
        <v>-2.5</v>
      </c>
    </row>
    <row r="3" spans="1:19" x14ac:dyDescent="0.25">
      <c r="A3" s="1">
        <v>1</v>
      </c>
      <c r="B3">
        <v>1</v>
      </c>
      <c r="C3">
        <v>1</v>
      </c>
      <c r="D3" t="s">
        <v>271</v>
      </c>
      <c r="E3">
        <v>1972</v>
      </c>
      <c r="F3">
        <v>380</v>
      </c>
      <c r="G3">
        <v>39</v>
      </c>
      <c r="K3">
        <f t="shared" ref="K3:K10" si="0">E3/2000</f>
        <v>0.98599999999999999</v>
      </c>
      <c r="L3">
        <f t="shared" ref="L3:L10" si="1">-K3</f>
        <v>-0.98599999999999999</v>
      </c>
      <c r="M3">
        <f t="shared" ref="M3:M10" si="2">5000/2000</f>
        <v>2.5</v>
      </c>
      <c r="N3">
        <f t="shared" ref="N3:N11" si="3">-M3</f>
        <v>-2.5</v>
      </c>
    </row>
    <row r="4" spans="1:19" x14ac:dyDescent="0.25">
      <c r="A4" s="1">
        <v>2</v>
      </c>
      <c r="B4">
        <v>2</v>
      </c>
      <c r="C4">
        <v>1</v>
      </c>
      <c r="D4" t="s">
        <v>272</v>
      </c>
      <c r="E4">
        <v>986</v>
      </c>
      <c r="F4">
        <v>380</v>
      </c>
      <c r="G4">
        <v>41</v>
      </c>
      <c r="K4">
        <f t="shared" si="0"/>
        <v>0.49299999999999999</v>
      </c>
      <c r="L4">
        <f t="shared" si="1"/>
        <v>-0.49299999999999999</v>
      </c>
      <c r="M4">
        <f t="shared" si="2"/>
        <v>2.5</v>
      </c>
      <c r="N4">
        <f t="shared" si="3"/>
        <v>-2.5</v>
      </c>
    </row>
    <row r="5" spans="1:19" x14ac:dyDescent="0.25">
      <c r="A5" s="1">
        <v>3</v>
      </c>
      <c r="B5">
        <v>3</v>
      </c>
      <c r="C5">
        <v>1</v>
      </c>
      <c r="D5" t="s">
        <v>273</v>
      </c>
      <c r="E5">
        <v>986</v>
      </c>
      <c r="F5">
        <v>380</v>
      </c>
      <c r="G5">
        <v>42</v>
      </c>
      <c r="K5">
        <f t="shared" si="0"/>
        <v>0.49299999999999999</v>
      </c>
      <c r="L5">
        <f t="shared" si="1"/>
        <v>-0.49299999999999999</v>
      </c>
      <c r="M5">
        <f t="shared" si="2"/>
        <v>2.5</v>
      </c>
      <c r="N5">
        <f t="shared" si="3"/>
        <v>-2.5</v>
      </c>
    </row>
    <row r="6" spans="1:19" x14ac:dyDescent="0.25">
      <c r="A6" s="1">
        <v>4</v>
      </c>
      <c r="B6">
        <v>4</v>
      </c>
      <c r="C6">
        <v>1</v>
      </c>
      <c r="D6" t="s">
        <v>274</v>
      </c>
      <c r="E6">
        <v>1128</v>
      </c>
      <c r="F6">
        <v>380</v>
      </c>
      <c r="G6">
        <v>43</v>
      </c>
      <c r="K6">
        <f t="shared" si="0"/>
        <v>0.56399999999999995</v>
      </c>
      <c r="L6">
        <f t="shared" si="1"/>
        <v>-0.56399999999999995</v>
      </c>
      <c r="M6">
        <f t="shared" si="2"/>
        <v>2.5</v>
      </c>
      <c r="N6">
        <f t="shared" si="3"/>
        <v>-2.5</v>
      </c>
    </row>
    <row r="7" spans="1:19" x14ac:dyDescent="0.25">
      <c r="A7" s="1">
        <v>5</v>
      </c>
      <c r="B7">
        <v>5</v>
      </c>
      <c r="C7">
        <v>1</v>
      </c>
      <c r="D7" t="s">
        <v>275</v>
      </c>
      <c r="E7">
        <v>1128</v>
      </c>
      <c r="F7">
        <v>380</v>
      </c>
      <c r="G7">
        <v>44</v>
      </c>
      <c r="K7">
        <f t="shared" si="0"/>
        <v>0.56399999999999995</v>
      </c>
      <c r="L7">
        <f t="shared" si="1"/>
        <v>-0.56399999999999995</v>
      </c>
      <c r="M7">
        <f t="shared" si="2"/>
        <v>2.5</v>
      </c>
      <c r="N7">
        <f t="shared" si="3"/>
        <v>-2.5</v>
      </c>
    </row>
    <row r="8" spans="1:19" x14ac:dyDescent="0.25">
      <c r="A8" s="1">
        <v>6</v>
      </c>
      <c r="B8">
        <v>6</v>
      </c>
      <c r="C8">
        <v>1</v>
      </c>
      <c r="D8" t="s">
        <v>276</v>
      </c>
      <c r="E8">
        <v>1000</v>
      </c>
      <c r="F8">
        <v>380</v>
      </c>
      <c r="G8">
        <v>35</v>
      </c>
      <c r="K8">
        <f t="shared" si="0"/>
        <v>0.5</v>
      </c>
      <c r="L8">
        <f t="shared" si="1"/>
        <v>-0.5</v>
      </c>
      <c r="M8">
        <f t="shared" si="2"/>
        <v>2.5</v>
      </c>
      <c r="N8">
        <f t="shared" si="3"/>
        <v>-2.5</v>
      </c>
    </row>
    <row r="9" spans="1:19" x14ac:dyDescent="0.25">
      <c r="A9" s="1">
        <v>7</v>
      </c>
      <c r="B9">
        <v>7</v>
      </c>
      <c r="C9">
        <v>1</v>
      </c>
      <c r="D9" t="s">
        <v>277</v>
      </c>
      <c r="E9">
        <v>700</v>
      </c>
      <c r="F9">
        <v>380</v>
      </c>
      <c r="G9">
        <v>36</v>
      </c>
      <c r="K9">
        <f t="shared" si="0"/>
        <v>0.35</v>
      </c>
      <c r="L9">
        <f t="shared" si="1"/>
        <v>-0.35</v>
      </c>
      <c r="M9">
        <f t="shared" si="2"/>
        <v>2.5</v>
      </c>
      <c r="N9">
        <f t="shared" si="3"/>
        <v>-2.5</v>
      </c>
    </row>
    <row r="10" spans="1:19" x14ac:dyDescent="0.25">
      <c r="A10" s="1">
        <v>8</v>
      </c>
      <c r="B10">
        <v>8</v>
      </c>
      <c r="C10">
        <v>1</v>
      </c>
      <c r="D10" t="s">
        <v>278</v>
      </c>
      <c r="E10">
        <v>700</v>
      </c>
      <c r="F10">
        <v>380</v>
      </c>
      <c r="G10">
        <v>37</v>
      </c>
      <c r="K10">
        <f t="shared" si="0"/>
        <v>0.35</v>
      </c>
      <c r="L10">
        <f t="shared" si="1"/>
        <v>-0.35</v>
      </c>
      <c r="M10">
        <f t="shared" si="2"/>
        <v>2.5</v>
      </c>
      <c r="N10">
        <f t="shared" si="3"/>
        <v>-2.5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 activeCell="N3" sqref="N3"/>
    </sheetView>
  </sheetViews>
  <sheetFormatPr defaultColWidth="8.85546875"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2" t="s">
        <v>2</v>
      </c>
      <c r="E1" s="3" t="s">
        <v>17</v>
      </c>
      <c r="F1" s="3" t="s">
        <v>3</v>
      </c>
      <c r="G1" s="2" t="s">
        <v>14</v>
      </c>
      <c r="H1" s="1" t="s">
        <v>18</v>
      </c>
      <c r="I1" s="3" t="s">
        <v>15</v>
      </c>
      <c r="J1" s="3" t="s">
        <v>16</v>
      </c>
      <c r="K1" s="2" t="s">
        <v>19</v>
      </c>
      <c r="L1" s="2" t="s">
        <v>20</v>
      </c>
      <c r="M1" s="2" t="s">
        <v>21</v>
      </c>
      <c r="N1" s="2" t="s">
        <v>22</v>
      </c>
      <c r="O1" s="3" t="s">
        <v>6</v>
      </c>
      <c r="P1" s="3" t="s">
        <v>4</v>
      </c>
      <c r="Q1" s="3" t="s">
        <v>5</v>
      </c>
      <c r="R1" s="3" t="s">
        <v>23</v>
      </c>
      <c r="S1" s="3" t="s">
        <v>24</v>
      </c>
      <c r="T1" s="3" t="s">
        <v>7</v>
      </c>
    </row>
    <row r="2" spans="1:20" x14ac:dyDescent="0.25">
      <c r="A2" s="1">
        <v>0</v>
      </c>
      <c r="B2">
        <v>9</v>
      </c>
      <c r="C2">
        <v>1</v>
      </c>
      <c r="D2" t="s">
        <v>279</v>
      </c>
      <c r="E2">
        <v>1972</v>
      </c>
      <c r="F2">
        <v>380</v>
      </c>
      <c r="G2">
        <v>40</v>
      </c>
      <c r="K2">
        <f>E2/2000</f>
        <v>0.98599999999999999</v>
      </c>
      <c r="L2">
        <f>-K2</f>
        <v>-0.98599999999999999</v>
      </c>
      <c r="M2">
        <f>5000/2000</f>
        <v>2.5</v>
      </c>
      <c r="N2">
        <f>-M2</f>
        <v>-2.5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96"/>
  <sheetViews>
    <sheetView topLeftCell="C1" zoomScale="87" workbookViewId="0">
      <pane ySplit="1" topLeftCell="A18" activePane="bottomLeft" state="frozen"/>
      <selection pane="bottomLeft" activeCell="Z89" sqref="Z89:AD95"/>
    </sheetView>
  </sheetViews>
  <sheetFormatPr defaultColWidth="8.85546875" defaultRowHeight="15" x14ac:dyDescent="0.25"/>
  <cols>
    <col min="1" max="1" width="9.140625" bestFit="1" customWidth="1"/>
    <col min="3" max="3" width="9.140625" bestFit="1" customWidth="1"/>
    <col min="4" max="4" width="28.5703125" bestFit="1" customWidth="1"/>
    <col min="5" max="10" width="9.28515625" bestFit="1" customWidth="1"/>
    <col min="11" max="13" width="16.28515625" bestFit="1" customWidth="1"/>
    <col min="14" max="21" width="9.28515625" bestFit="1" customWidth="1"/>
    <col min="25" max="27" width="15.42578125" bestFit="1" customWidth="1"/>
    <col min="28" max="28" width="10.42578125" bestFit="1" customWidth="1"/>
    <col min="29" max="29" width="14.5703125" bestFit="1" customWidth="1"/>
    <col min="30" max="30" width="14.85546875" bestFit="1" customWidth="1"/>
  </cols>
  <sheetData>
    <row r="1" spans="1:30" x14ac:dyDescent="0.25">
      <c r="A1" s="1" t="s">
        <v>13</v>
      </c>
      <c r="B1" s="1" t="s">
        <v>0</v>
      </c>
      <c r="C1" s="1" t="s">
        <v>1</v>
      </c>
      <c r="D1" s="2" t="s">
        <v>2</v>
      </c>
      <c r="E1" s="2" t="s">
        <v>25</v>
      </c>
      <c r="F1" s="2" t="s">
        <v>26</v>
      </c>
      <c r="G1" s="4" t="s">
        <v>17</v>
      </c>
      <c r="H1" s="2" t="s">
        <v>27</v>
      </c>
      <c r="I1" s="2" t="s">
        <v>28</v>
      </c>
      <c r="J1" s="2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2" t="s">
        <v>38</v>
      </c>
      <c r="T1" s="2" t="s">
        <v>39</v>
      </c>
      <c r="U1" s="2" t="s">
        <v>40</v>
      </c>
      <c r="V1" s="1" t="s">
        <v>12</v>
      </c>
      <c r="W1" s="1" t="s">
        <v>8</v>
      </c>
      <c r="X1" s="1" t="s">
        <v>9</v>
      </c>
      <c r="Z1" s="1"/>
      <c r="AA1" s="1"/>
      <c r="AB1" s="1"/>
      <c r="AC1" s="1"/>
      <c r="AD1" s="1"/>
    </row>
    <row r="2" spans="1:30" x14ac:dyDescent="0.25">
      <c r="A2" s="1">
        <v>0</v>
      </c>
      <c r="B2" t="s">
        <v>41</v>
      </c>
      <c r="C2">
        <v>1</v>
      </c>
      <c r="D2" t="s">
        <v>178</v>
      </c>
      <c r="E2">
        <v>0</v>
      </c>
      <c r="F2">
        <v>6</v>
      </c>
      <c r="G2">
        <v>1000</v>
      </c>
      <c r="H2">
        <v>50</v>
      </c>
      <c r="I2">
        <v>220</v>
      </c>
      <c r="J2">
        <v>220</v>
      </c>
      <c r="K2">
        <v>4.132231404958678E-5</v>
      </c>
      <c r="L2">
        <v>5.785123966942148E-4</v>
      </c>
      <c r="M2">
        <v>6.0821233773498392E-6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30" x14ac:dyDescent="0.25">
      <c r="A3" s="1">
        <v>1</v>
      </c>
      <c r="B3" t="s">
        <v>42</v>
      </c>
      <c r="C3">
        <v>1</v>
      </c>
      <c r="D3" t="s">
        <v>179</v>
      </c>
      <c r="E3">
        <v>0</v>
      </c>
      <c r="F3">
        <v>6</v>
      </c>
      <c r="G3">
        <v>1000</v>
      </c>
      <c r="H3">
        <v>50</v>
      </c>
      <c r="I3">
        <v>220</v>
      </c>
      <c r="J3">
        <v>220</v>
      </c>
      <c r="K3">
        <v>4.132231404958678E-5</v>
      </c>
      <c r="L3">
        <v>5.785123966942148E-4</v>
      </c>
      <c r="M3">
        <v>6.0821233773498392E-6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30" x14ac:dyDescent="0.25">
      <c r="A4" s="1">
        <v>2</v>
      </c>
      <c r="B4" t="s">
        <v>43</v>
      </c>
      <c r="C4">
        <v>1</v>
      </c>
      <c r="D4" t="s">
        <v>180</v>
      </c>
      <c r="E4">
        <v>2</v>
      </c>
      <c r="F4">
        <v>1</v>
      </c>
      <c r="G4">
        <v>1000</v>
      </c>
      <c r="H4">
        <v>50</v>
      </c>
      <c r="I4">
        <v>220</v>
      </c>
      <c r="J4">
        <v>220</v>
      </c>
      <c r="K4">
        <v>1.5475206611570251E-2</v>
      </c>
      <c r="L4">
        <v>0.17068181818181818</v>
      </c>
      <c r="M4">
        <v>4.7744668512196241E-3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30" x14ac:dyDescent="0.25">
      <c r="A5" s="1">
        <v>3</v>
      </c>
      <c r="B5" t="s">
        <v>44</v>
      </c>
      <c r="C5">
        <v>1</v>
      </c>
      <c r="D5" t="s">
        <v>181</v>
      </c>
      <c r="E5">
        <v>2</v>
      </c>
      <c r="F5">
        <v>1</v>
      </c>
      <c r="G5">
        <v>1000</v>
      </c>
      <c r="H5">
        <v>50</v>
      </c>
      <c r="I5">
        <v>220</v>
      </c>
      <c r="J5">
        <v>220</v>
      </c>
      <c r="K5">
        <v>1.5475206611570251E-2</v>
      </c>
      <c r="L5">
        <v>0.17068181818181818</v>
      </c>
      <c r="M5">
        <v>4.7744668512196241E-3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30" x14ac:dyDescent="0.25">
      <c r="A6" s="1">
        <v>4</v>
      </c>
      <c r="B6" t="s">
        <v>45</v>
      </c>
      <c r="C6">
        <v>1</v>
      </c>
      <c r="D6" t="s">
        <v>182</v>
      </c>
      <c r="E6">
        <v>3</v>
      </c>
      <c r="F6">
        <v>7</v>
      </c>
      <c r="G6">
        <v>1000</v>
      </c>
      <c r="H6">
        <v>50</v>
      </c>
      <c r="I6">
        <v>220</v>
      </c>
      <c r="J6">
        <v>220</v>
      </c>
      <c r="K6">
        <v>2.135541016222834E-2</v>
      </c>
      <c r="L6">
        <v>0.23515687174778088</v>
      </c>
      <c r="M6">
        <v>6.5534879390944526E-3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30" x14ac:dyDescent="0.25">
      <c r="A7" s="1">
        <v>5</v>
      </c>
      <c r="B7" t="s">
        <v>46</v>
      </c>
      <c r="C7">
        <v>1</v>
      </c>
      <c r="D7" t="s">
        <v>183</v>
      </c>
      <c r="E7">
        <v>3</v>
      </c>
      <c r="F7">
        <v>7</v>
      </c>
      <c r="G7">
        <v>1000</v>
      </c>
      <c r="H7">
        <v>50</v>
      </c>
      <c r="I7">
        <v>220</v>
      </c>
      <c r="J7">
        <v>220</v>
      </c>
      <c r="K7">
        <v>2.135541016222834E-2</v>
      </c>
      <c r="L7">
        <v>0.23515687174778088</v>
      </c>
      <c r="M7">
        <v>6.5534879390944526E-3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30" x14ac:dyDescent="0.25">
      <c r="A8" s="1">
        <v>6</v>
      </c>
      <c r="B8" t="s">
        <v>47</v>
      </c>
      <c r="C8">
        <v>1</v>
      </c>
      <c r="D8" t="s">
        <v>184</v>
      </c>
      <c r="E8">
        <v>3</v>
      </c>
      <c r="F8">
        <v>5</v>
      </c>
      <c r="G8">
        <v>1000</v>
      </c>
      <c r="H8">
        <v>50</v>
      </c>
      <c r="I8">
        <v>220</v>
      </c>
      <c r="J8">
        <v>220</v>
      </c>
      <c r="K8">
        <v>1.4070247933884297E-2</v>
      </c>
      <c r="L8">
        <v>0.15473140495867768</v>
      </c>
      <c r="M8">
        <v>4.3335129063617611E-3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30" x14ac:dyDescent="0.25">
      <c r="A9" s="1">
        <v>7</v>
      </c>
      <c r="B9" t="s">
        <v>48</v>
      </c>
      <c r="C9">
        <v>1</v>
      </c>
      <c r="D9" t="s">
        <v>185</v>
      </c>
      <c r="E9">
        <v>3</v>
      </c>
      <c r="F9">
        <v>5</v>
      </c>
      <c r="G9">
        <v>1000</v>
      </c>
      <c r="H9">
        <v>50</v>
      </c>
      <c r="I9">
        <v>220</v>
      </c>
      <c r="J9">
        <v>220</v>
      </c>
      <c r="K9">
        <v>1.4070247933884297E-2</v>
      </c>
      <c r="L9">
        <v>0.15473140495867768</v>
      </c>
      <c r="M9">
        <v>4.3335129063617611E-3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30" x14ac:dyDescent="0.25">
      <c r="A10" s="1">
        <v>8</v>
      </c>
      <c r="B10" t="s">
        <v>49</v>
      </c>
      <c r="C10">
        <v>1</v>
      </c>
      <c r="D10" t="s">
        <v>186</v>
      </c>
      <c r="E10">
        <v>5</v>
      </c>
      <c r="F10">
        <v>1</v>
      </c>
      <c r="G10">
        <v>1000</v>
      </c>
      <c r="H10">
        <v>50</v>
      </c>
      <c r="I10">
        <v>220</v>
      </c>
      <c r="J10">
        <v>220</v>
      </c>
      <c r="K10">
        <v>2.1632231404958683E-2</v>
      </c>
      <c r="L10">
        <v>0.23791322314049593</v>
      </c>
      <c r="M10">
        <v>6.6599250981980761E-3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30" x14ac:dyDescent="0.25">
      <c r="A11" s="1">
        <v>9</v>
      </c>
      <c r="B11" t="s">
        <v>50</v>
      </c>
      <c r="C11">
        <v>1</v>
      </c>
      <c r="D11" t="s">
        <v>187</v>
      </c>
      <c r="E11">
        <v>5</v>
      </c>
      <c r="F11">
        <v>1</v>
      </c>
      <c r="G11">
        <v>1000</v>
      </c>
      <c r="H11">
        <v>50</v>
      </c>
      <c r="I11">
        <v>220</v>
      </c>
      <c r="J11">
        <v>220</v>
      </c>
      <c r="K11">
        <v>2.1632231404958683E-2</v>
      </c>
      <c r="L11">
        <v>0.23791322314049593</v>
      </c>
      <c r="M11">
        <v>6.6599250981980761E-3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30" x14ac:dyDescent="0.25">
      <c r="A12" s="1">
        <v>10</v>
      </c>
      <c r="B12" t="s">
        <v>51</v>
      </c>
      <c r="C12">
        <v>1</v>
      </c>
      <c r="D12" t="s">
        <v>188</v>
      </c>
      <c r="E12">
        <v>6</v>
      </c>
      <c r="F12">
        <v>8</v>
      </c>
      <c r="G12">
        <v>1000</v>
      </c>
      <c r="H12">
        <v>50</v>
      </c>
      <c r="I12">
        <v>220</v>
      </c>
      <c r="J12">
        <v>220</v>
      </c>
      <c r="K12">
        <v>9.0289256198347115E-3</v>
      </c>
      <c r="L12">
        <v>0.13082644628099174</v>
      </c>
      <c r="M12">
        <v>3.8925589615038973E-3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30" x14ac:dyDescent="0.25">
      <c r="A13" s="1">
        <v>11</v>
      </c>
      <c r="B13" t="s">
        <v>52</v>
      </c>
      <c r="C13">
        <v>1</v>
      </c>
      <c r="D13" t="s">
        <v>189</v>
      </c>
      <c r="E13">
        <v>6</v>
      </c>
      <c r="F13">
        <v>8</v>
      </c>
      <c r="G13">
        <v>1000</v>
      </c>
      <c r="H13">
        <v>50</v>
      </c>
      <c r="I13">
        <v>220</v>
      </c>
      <c r="J13">
        <v>220</v>
      </c>
      <c r="K13">
        <v>9.0289256198347115E-3</v>
      </c>
      <c r="L13">
        <v>0.13082644628099174</v>
      </c>
      <c r="M13">
        <v>3.8925589615038973E-3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30" x14ac:dyDescent="0.25">
      <c r="A14" s="1">
        <v>12</v>
      </c>
      <c r="B14" t="s">
        <v>53</v>
      </c>
      <c r="C14">
        <v>1</v>
      </c>
      <c r="D14" t="s">
        <v>190</v>
      </c>
      <c r="E14">
        <v>7</v>
      </c>
      <c r="F14">
        <v>0</v>
      </c>
      <c r="G14">
        <v>1000</v>
      </c>
      <c r="H14">
        <v>50</v>
      </c>
      <c r="I14">
        <v>220</v>
      </c>
      <c r="J14">
        <v>220</v>
      </c>
      <c r="K14">
        <v>2.0454545454545454E-2</v>
      </c>
      <c r="L14">
        <v>0.23638429752066115</v>
      </c>
      <c r="M14">
        <v>6.0821233773498398E-3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30" x14ac:dyDescent="0.25">
      <c r="A15" s="1">
        <v>13</v>
      </c>
      <c r="B15" t="s">
        <v>54</v>
      </c>
      <c r="C15">
        <v>1</v>
      </c>
      <c r="D15" t="s">
        <v>191</v>
      </c>
      <c r="E15">
        <v>7</v>
      </c>
      <c r="F15">
        <v>6</v>
      </c>
      <c r="G15">
        <v>1000</v>
      </c>
      <c r="H15">
        <v>50</v>
      </c>
      <c r="I15">
        <v>220</v>
      </c>
      <c r="J15">
        <v>220</v>
      </c>
      <c r="K15">
        <v>2.0392561983471075E-2</v>
      </c>
      <c r="L15">
        <v>0.23584710743801651</v>
      </c>
      <c r="M15">
        <v>6.0669180689064649E-3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30" x14ac:dyDescent="0.25">
      <c r="A16" s="1">
        <v>14</v>
      </c>
      <c r="B16" t="s">
        <v>55</v>
      </c>
      <c r="C16">
        <v>1</v>
      </c>
      <c r="D16" t="s">
        <v>192</v>
      </c>
      <c r="E16">
        <v>7</v>
      </c>
      <c r="F16">
        <v>6</v>
      </c>
      <c r="G16">
        <v>1000</v>
      </c>
      <c r="H16">
        <v>50</v>
      </c>
      <c r="I16">
        <v>220</v>
      </c>
      <c r="J16">
        <v>220</v>
      </c>
      <c r="K16">
        <v>2.0392561983471075E-2</v>
      </c>
      <c r="L16">
        <v>0.23584710743801651</v>
      </c>
      <c r="M16">
        <v>6.0669180689064649E-3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5">
      <c r="A17" s="1">
        <v>15</v>
      </c>
      <c r="B17" t="s">
        <v>101</v>
      </c>
      <c r="C17">
        <v>1</v>
      </c>
      <c r="D17" t="s">
        <v>193</v>
      </c>
      <c r="E17">
        <v>7</v>
      </c>
      <c r="F17">
        <v>9</v>
      </c>
      <c r="G17">
        <v>1000</v>
      </c>
      <c r="H17">
        <v>50</v>
      </c>
      <c r="I17">
        <v>220</v>
      </c>
      <c r="J17">
        <v>220</v>
      </c>
      <c r="K17">
        <v>8.2644628099173556E-3</v>
      </c>
      <c r="L17">
        <v>0.1440082644628099</v>
      </c>
      <c r="M17">
        <v>3.4516050166460339E-3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5">
      <c r="A18" s="1">
        <v>16</v>
      </c>
      <c r="B18" t="s">
        <v>102</v>
      </c>
      <c r="C18">
        <v>1</v>
      </c>
      <c r="D18" t="s">
        <v>194</v>
      </c>
      <c r="E18">
        <v>7</v>
      </c>
      <c r="F18">
        <v>9</v>
      </c>
      <c r="G18">
        <v>1000</v>
      </c>
      <c r="H18">
        <v>50</v>
      </c>
      <c r="I18">
        <v>220</v>
      </c>
      <c r="J18">
        <v>220</v>
      </c>
      <c r="K18">
        <v>8.2644628099173556E-3</v>
      </c>
      <c r="L18">
        <v>0.1440082644628099</v>
      </c>
      <c r="M18">
        <v>3.4516050166460339E-3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5">
      <c r="A19" s="1">
        <v>17</v>
      </c>
      <c r="B19" t="s">
        <v>103</v>
      </c>
      <c r="C19">
        <v>1</v>
      </c>
      <c r="D19" t="s">
        <v>195</v>
      </c>
      <c r="E19">
        <v>8</v>
      </c>
      <c r="F19">
        <v>4</v>
      </c>
      <c r="G19">
        <v>1000</v>
      </c>
      <c r="H19">
        <v>50</v>
      </c>
      <c r="I19">
        <v>220</v>
      </c>
      <c r="J19">
        <v>220</v>
      </c>
      <c r="K19">
        <v>1.0165289256198346E-2</v>
      </c>
      <c r="L19">
        <v>0.14975206611570252</v>
      </c>
      <c r="M19">
        <v>4.5007712992388817E-3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5">
      <c r="A20" s="1">
        <v>18</v>
      </c>
      <c r="B20" t="s">
        <v>104</v>
      </c>
      <c r="C20">
        <v>1</v>
      </c>
      <c r="D20" t="s">
        <v>196</v>
      </c>
      <c r="E20">
        <v>8</v>
      </c>
      <c r="F20">
        <v>4</v>
      </c>
      <c r="G20">
        <v>1000</v>
      </c>
      <c r="H20">
        <v>50</v>
      </c>
      <c r="I20">
        <v>220</v>
      </c>
      <c r="J20">
        <v>220</v>
      </c>
      <c r="K20">
        <v>1.0165289256198346E-2</v>
      </c>
      <c r="L20">
        <v>0.14975206611570252</v>
      </c>
      <c r="M20">
        <v>4.5007712992388817E-3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5">
      <c r="A21" s="1">
        <v>19</v>
      </c>
      <c r="B21" t="s">
        <v>105</v>
      </c>
      <c r="C21">
        <v>1</v>
      </c>
      <c r="D21" t="s">
        <v>197</v>
      </c>
      <c r="E21">
        <v>9</v>
      </c>
      <c r="F21">
        <v>2</v>
      </c>
      <c r="G21">
        <v>1000</v>
      </c>
      <c r="H21">
        <v>50</v>
      </c>
      <c r="I21">
        <v>220</v>
      </c>
      <c r="J21">
        <v>220</v>
      </c>
      <c r="K21">
        <v>2.6900826446280994E-2</v>
      </c>
      <c r="L21">
        <v>0.38677685950413221</v>
      </c>
      <c r="M21">
        <v>9.7313974037597419E-3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25">
      <c r="A22" s="1">
        <v>20</v>
      </c>
      <c r="B22" t="s">
        <v>106</v>
      </c>
      <c r="C22">
        <v>1</v>
      </c>
      <c r="D22" t="s">
        <v>198</v>
      </c>
      <c r="E22">
        <v>9</v>
      </c>
      <c r="F22">
        <v>2</v>
      </c>
      <c r="G22">
        <v>1000</v>
      </c>
      <c r="H22">
        <v>50</v>
      </c>
      <c r="I22">
        <v>220</v>
      </c>
      <c r="J22">
        <v>220</v>
      </c>
      <c r="K22">
        <v>2.6900826446280994E-2</v>
      </c>
      <c r="L22">
        <v>0.38677685950413221</v>
      </c>
      <c r="M22">
        <v>9.7313974037597419E-3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25">
      <c r="A23" s="1">
        <v>21</v>
      </c>
      <c r="B23" t="s">
        <v>107</v>
      </c>
      <c r="C23">
        <v>1</v>
      </c>
      <c r="D23" t="s">
        <v>199</v>
      </c>
      <c r="E23">
        <v>10</v>
      </c>
      <c r="F23">
        <v>15</v>
      </c>
      <c r="G23">
        <v>1000</v>
      </c>
      <c r="H23">
        <v>50</v>
      </c>
      <c r="I23">
        <v>380</v>
      </c>
      <c r="J23">
        <v>380</v>
      </c>
      <c r="K23">
        <v>6.16343490304709E-3</v>
      </c>
      <c r="L23">
        <v>7.1121883656509677E-2</v>
      </c>
      <c r="M23">
        <v>1.7011724219188732E-2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25">
      <c r="A24" s="1">
        <v>22</v>
      </c>
      <c r="B24" t="s">
        <v>108</v>
      </c>
      <c r="C24">
        <v>1</v>
      </c>
      <c r="D24" s="8" t="s">
        <v>200</v>
      </c>
      <c r="E24">
        <v>11</v>
      </c>
      <c r="F24">
        <v>30</v>
      </c>
      <c r="G24">
        <v>1000</v>
      </c>
      <c r="H24">
        <v>50</v>
      </c>
      <c r="I24">
        <v>380</v>
      </c>
      <c r="J24">
        <v>380</v>
      </c>
      <c r="K24">
        <v>6.5096952908587254E-3</v>
      </c>
      <c r="L24">
        <v>7.4459833795013863E-2</v>
      </c>
      <c r="M24">
        <v>1.7646828590038445E-2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25">
      <c r="A25" s="1">
        <v>23</v>
      </c>
      <c r="B25" t="s">
        <v>109</v>
      </c>
      <c r="C25">
        <v>1</v>
      </c>
      <c r="D25" s="8" t="s">
        <v>201</v>
      </c>
      <c r="E25">
        <v>11</v>
      </c>
      <c r="F25">
        <v>30</v>
      </c>
      <c r="G25">
        <v>1000</v>
      </c>
      <c r="H25">
        <v>50</v>
      </c>
      <c r="I25">
        <v>380</v>
      </c>
      <c r="J25">
        <v>380</v>
      </c>
      <c r="K25">
        <v>6.5096952908587254E-3</v>
      </c>
      <c r="L25">
        <v>7.4459833795013863E-2</v>
      </c>
      <c r="M25">
        <v>1.7646828590038445E-2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25">
      <c r="A26" s="1">
        <v>24</v>
      </c>
      <c r="B26" t="s">
        <v>110</v>
      </c>
      <c r="C26">
        <v>1</v>
      </c>
      <c r="D26" s="8" t="s">
        <v>202</v>
      </c>
      <c r="E26">
        <v>12</v>
      </c>
      <c r="F26">
        <v>29</v>
      </c>
      <c r="G26">
        <v>1000</v>
      </c>
      <c r="H26">
        <v>50</v>
      </c>
      <c r="I26">
        <v>380</v>
      </c>
      <c r="J26">
        <v>380</v>
      </c>
      <c r="K26">
        <v>2.7700831024930739E-3</v>
      </c>
      <c r="L26">
        <v>3.2202216066481992E-2</v>
      </c>
      <c r="M26">
        <v>7.7119816460322248E-3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25">
      <c r="A27" s="1">
        <v>25</v>
      </c>
      <c r="B27" t="s">
        <v>111</v>
      </c>
      <c r="C27">
        <v>1</v>
      </c>
      <c r="D27" s="8" t="s">
        <v>203</v>
      </c>
      <c r="E27">
        <v>12</v>
      </c>
      <c r="F27">
        <v>29</v>
      </c>
      <c r="G27">
        <v>1000</v>
      </c>
      <c r="H27">
        <v>50</v>
      </c>
      <c r="I27">
        <v>380</v>
      </c>
      <c r="J27">
        <v>380</v>
      </c>
      <c r="K27">
        <v>2.7700831024930739E-3</v>
      </c>
      <c r="L27">
        <v>3.2202216066481992E-2</v>
      </c>
      <c r="M27">
        <v>7.7119816460322248E-3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25">
      <c r="A28" s="1">
        <v>26</v>
      </c>
      <c r="B28" t="s">
        <v>112</v>
      </c>
      <c r="C28">
        <v>1</v>
      </c>
      <c r="D28" s="8" t="s">
        <v>204</v>
      </c>
      <c r="E28">
        <v>12</v>
      </c>
      <c r="F28">
        <v>31</v>
      </c>
      <c r="G28">
        <v>1000</v>
      </c>
      <c r="H28">
        <v>50</v>
      </c>
      <c r="I28">
        <v>380</v>
      </c>
      <c r="J28">
        <v>380</v>
      </c>
      <c r="K28">
        <v>1.5235457063711908E-3</v>
      </c>
      <c r="L28">
        <v>1.8975069252077564E-2</v>
      </c>
      <c r="M28">
        <v>6.4871375022506365E-3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25">
      <c r="A29" s="1">
        <v>27</v>
      </c>
      <c r="B29" t="s">
        <v>113</v>
      </c>
      <c r="C29">
        <v>1</v>
      </c>
      <c r="D29" s="8" t="s">
        <v>205</v>
      </c>
      <c r="E29">
        <v>12</v>
      </c>
      <c r="F29">
        <v>31</v>
      </c>
      <c r="G29">
        <v>1000</v>
      </c>
      <c r="H29">
        <v>50</v>
      </c>
      <c r="I29">
        <v>380</v>
      </c>
      <c r="J29">
        <v>380</v>
      </c>
      <c r="K29">
        <v>1.5235457063711908E-3</v>
      </c>
      <c r="L29">
        <v>1.8975069252077564E-2</v>
      </c>
      <c r="M29">
        <v>6.4871375022506365E-3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25">
      <c r="A30" s="1">
        <v>28</v>
      </c>
      <c r="B30" t="s">
        <v>114</v>
      </c>
      <c r="C30">
        <v>1</v>
      </c>
      <c r="D30" t="s">
        <v>206</v>
      </c>
      <c r="E30">
        <v>13</v>
      </c>
      <c r="F30">
        <v>31</v>
      </c>
      <c r="G30">
        <v>1000</v>
      </c>
      <c r="H30">
        <v>50</v>
      </c>
      <c r="I30">
        <v>380</v>
      </c>
      <c r="J30">
        <v>380</v>
      </c>
      <c r="K30">
        <v>4.3421052631578945E-3</v>
      </c>
      <c r="L30">
        <v>6.8704986149584479E-2</v>
      </c>
      <c r="M30">
        <v>2.0822350444287006E-2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25">
      <c r="A31" s="1">
        <v>29</v>
      </c>
      <c r="B31" t="s">
        <v>115</v>
      </c>
      <c r="C31">
        <v>1</v>
      </c>
      <c r="D31" t="s">
        <v>207</v>
      </c>
      <c r="E31">
        <v>13</v>
      </c>
      <c r="F31">
        <v>31</v>
      </c>
      <c r="G31">
        <v>1000</v>
      </c>
      <c r="H31">
        <v>50</v>
      </c>
      <c r="I31">
        <v>380</v>
      </c>
      <c r="J31">
        <v>380</v>
      </c>
      <c r="K31">
        <v>4.3421052631578945E-3</v>
      </c>
      <c r="L31">
        <v>6.8704986149584479E-2</v>
      </c>
      <c r="M31">
        <v>2.0822350444287006E-2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25">
      <c r="A32" s="1">
        <v>30</v>
      </c>
      <c r="B32" t="s">
        <v>116</v>
      </c>
      <c r="C32">
        <v>1</v>
      </c>
      <c r="D32" s="8" t="s">
        <v>208</v>
      </c>
      <c r="E32">
        <v>14</v>
      </c>
      <c r="F32">
        <v>24</v>
      </c>
      <c r="G32">
        <v>1000</v>
      </c>
      <c r="H32">
        <v>50</v>
      </c>
      <c r="I32">
        <v>380</v>
      </c>
      <c r="J32">
        <v>380</v>
      </c>
      <c r="K32">
        <v>1.5720221606648204E-3</v>
      </c>
      <c r="L32">
        <v>2.4903047091412746E-2</v>
      </c>
      <c r="M32">
        <v>6.7139604918398195E-3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25">
      <c r="A33" s="1">
        <v>31</v>
      </c>
      <c r="B33" t="s">
        <v>117</v>
      </c>
      <c r="C33">
        <v>1</v>
      </c>
      <c r="D33" s="8" t="s">
        <v>209</v>
      </c>
      <c r="E33">
        <v>14</v>
      </c>
      <c r="F33">
        <v>24</v>
      </c>
      <c r="G33">
        <v>1000</v>
      </c>
      <c r="H33">
        <v>50</v>
      </c>
      <c r="I33">
        <v>380</v>
      </c>
      <c r="J33">
        <v>380</v>
      </c>
      <c r="K33">
        <v>1.5720221606648204E-3</v>
      </c>
      <c r="L33">
        <v>2.4903047091412746E-2</v>
      </c>
      <c r="M33">
        <v>6.7139604918398195E-3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25">
      <c r="A34" s="1">
        <v>32</v>
      </c>
      <c r="B34" t="s">
        <v>118</v>
      </c>
      <c r="C34">
        <v>1</v>
      </c>
      <c r="D34" s="8" t="s">
        <v>210</v>
      </c>
      <c r="E34">
        <v>15</v>
      </c>
      <c r="F34">
        <v>25</v>
      </c>
      <c r="G34">
        <v>1000</v>
      </c>
      <c r="H34">
        <v>50</v>
      </c>
      <c r="I34">
        <v>380</v>
      </c>
      <c r="J34">
        <v>380</v>
      </c>
      <c r="K34">
        <v>8.1717451523545676E-3</v>
      </c>
      <c r="L34">
        <v>9.4972299168975066E-2</v>
      </c>
      <c r="M34">
        <v>2.2863757350589656E-2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25">
      <c r="A35" s="1">
        <v>33</v>
      </c>
      <c r="B35" t="s">
        <v>119</v>
      </c>
      <c r="C35">
        <v>1</v>
      </c>
      <c r="D35" s="8" t="s">
        <v>211</v>
      </c>
      <c r="E35">
        <v>15</v>
      </c>
      <c r="F35">
        <v>25</v>
      </c>
      <c r="G35">
        <v>1000</v>
      </c>
      <c r="H35">
        <v>50</v>
      </c>
      <c r="I35">
        <v>380</v>
      </c>
      <c r="J35">
        <v>380</v>
      </c>
      <c r="K35">
        <v>8.1717451523545676E-3</v>
      </c>
      <c r="L35">
        <v>9.4972299168975066E-2</v>
      </c>
      <c r="M35">
        <v>2.2863757350589656E-2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25">
      <c r="A36" s="1">
        <v>34</v>
      </c>
      <c r="B36" t="s">
        <v>120</v>
      </c>
      <c r="C36">
        <v>1</v>
      </c>
      <c r="D36" s="8" t="s">
        <v>212</v>
      </c>
      <c r="E36">
        <v>16</v>
      </c>
      <c r="F36">
        <v>17</v>
      </c>
      <c r="G36">
        <v>1000</v>
      </c>
      <c r="H36">
        <v>50</v>
      </c>
      <c r="I36">
        <v>380</v>
      </c>
      <c r="J36">
        <v>380</v>
      </c>
      <c r="K36">
        <v>7.998614958448752E-3</v>
      </c>
      <c r="L36">
        <v>8.5678670360110801E-2</v>
      </c>
      <c r="M36">
        <v>2.0595527454697823E-2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</row>
    <row r="37" spans="1:21" x14ac:dyDescent="0.25">
      <c r="A37" s="1">
        <v>35</v>
      </c>
      <c r="B37" t="s">
        <v>121</v>
      </c>
      <c r="C37">
        <v>1</v>
      </c>
      <c r="D37" s="8" t="s">
        <v>213</v>
      </c>
      <c r="E37">
        <v>16</v>
      </c>
      <c r="F37">
        <v>17</v>
      </c>
      <c r="G37">
        <v>1000</v>
      </c>
      <c r="H37">
        <v>50</v>
      </c>
      <c r="I37">
        <v>380</v>
      </c>
      <c r="J37">
        <v>380</v>
      </c>
      <c r="K37">
        <v>7.998614958448752E-3</v>
      </c>
      <c r="L37">
        <v>8.5678670360110801E-2</v>
      </c>
      <c r="M37">
        <v>2.0595527454697823E-2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 x14ac:dyDescent="0.25">
      <c r="A38" s="1">
        <v>36</v>
      </c>
      <c r="B38" t="s">
        <v>122</v>
      </c>
      <c r="C38">
        <v>1</v>
      </c>
      <c r="D38" s="8" t="s">
        <v>214</v>
      </c>
      <c r="E38">
        <v>17</v>
      </c>
      <c r="F38">
        <v>23</v>
      </c>
      <c r="G38">
        <v>1000</v>
      </c>
      <c r="H38">
        <v>50</v>
      </c>
      <c r="I38">
        <v>380</v>
      </c>
      <c r="J38">
        <v>380</v>
      </c>
      <c r="K38">
        <v>1.0325484764542939E-2</v>
      </c>
      <c r="L38">
        <v>0.11108033240997228</v>
      </c>
      <c r="M38">
        <v>2.6629018977770095E-2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</row>
    <row r="39" spans="1:21" x14ac:dyDescent="0.25">
      <c r="A39" s="1">
        <v>37</v>
      </c>
      <c r="B39" t="s">
        <v>123</v>
      </c>
      <c r="C39">
        <v>1</v>
      </c>
      <c r="D39" s="8" t="s">
        <v>215</v>
      </c>
      <c r="E39">
        <v>17</v>
      </c>
      <c r="F39">
        <v>23</v>
      </c>
      <c r="G39">
        <v>1000</v>
      </c>
      <c r="H39">
        <v>50</v>
      </c>
      <c r="I39">
        <v>380</v>
      </c>
      <c r="J39">
        <v>380</v>
      </c>
      <c r="K39">
        <v>1.0325484764542939E-2</v>
      </c>
      <c r="L39">
        <v>0.11108033240997228</v>
      </c>
      <c r="M39">
        <v>2.6629018977770095E-2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</row>
    <row r="40" spans="1:21" x14ac:dyDescent="0.25">
      <c r="A40" s="1">
        <v>38</v>
      </c>
      <c r="B40" t="s">
        <v>124</v>
      </c>
      <c r="C40">
        <v>1</v>
      </c>
      <c r="D40" t="s">
        <v>216</v>
      </c>
      <c r="E40">
        <v>17</v>
      </c>
      <c r="F40">
        <v>40</v>
      </c>
      <c r="G40">
        <v>1000</v>
      </c>
      <c r="H40">
        <v>50</v>
      </c>
      <c r="I40">
        <v>380</v>
      </c>
      <c r="J40">
        <v>380</v>
      </c>
      <c r="K40">
        <v>2.8808864265927967E-3</v>
      </c>
      <c r="L40">
        <v>5.1108033240997233E-2</v>
      </c>
      <c r="M40">
        <v>1.0061867818176163E-2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</row>
    <row r="41" spans="1:21" x14ac:dyDescent="0.25">
      <c r="A41" s="1">
        <v>39</v>
      </c>
      <c r="B41" t="s">
        <v>125</v>
      </c>
      <c r="C41">
        <v>1</v>
      </c>
      <c r="D41" t="s">
        <v>217</v>
      </c>
      <c r="E41">
        <v>17</v>
      </c>
      <c r="F41">
        <v>40</v>
      </c>
      <c r="G41">
        <v>1000</v>
      </c>
      <c r="H41">
        <v>50</v>
      </c>
      <c r="I41">
        <v>380</v>
      </c>
      <c r="J41">
        <v>380</v>
      </c>
      <c r="K41">
        <v>2.8808864265927967E-3</v>
      </c>
      <c r="L41">
        <v>5.1108033240997233E-2</v>
      </c>
      <c r="M41">
        <v>1.0061867818176163E-2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</row>
    <row r="42" spans="1:21" x14ac:dyDescent="0.25">
      <c r="A42" s="1">
        <v>40</v>
      </c>
      <c r="B42" t="s">
        <v>126</v>
      </c>
      <c r="C42">
        <v>1</v>
      </c>
      <c r="D42" s="8" t="s">
        <v>218</v>
      </c>
      <c r="E42">
        <v>18</v>
      </c>
      <c r="F42">
        <v>27</v>
      </c>
      <c r="G42">
        <v>1000</v>
      </c>
      <c r="H42">
        <v>50</v>
      </c>
      <c r="I42">
        <v>380</v>
      </c>
      <c r="J42">
        <v>380</v>
      </c>
      <c r="K42">
        <v>3.5249307479224383E-3</v>
      </c>
      <c r="L42">
        <v>6.0727146814404429E-2</v>
      </c>
      <c r="M42">
        <v>1.6694172033763874E-2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</row>
    <row r="43" spans="1:21" x14ac:dyDescent="0.25">
      <c r="A43" s="1">
        <v>41</v>
      </c>
      <c r="B43" t="s">
        <v>127</v>
      </c>
      <c r="C43">
        <v>1</v>
      </c>
      <c r="D43" s="8" t="s">
        <v>219</v>
      </c>
      <c r="E43">
        <v>18</v>
      </c>
      <c r="F43">
        <v>27</v>
      </c>
      <c r="G43">
        <v>1000</v>
      </c>
      <c r="H43">
        <v>50</v>
      </c>
      <c r="I43">
        <v>380</v>
      </c>
      <c r="J43">
        <v>380</v>
      </c>
      <c r="K43">
        <v>3.5249307479224383E-3</v>
      </c>
      <c r="L43">
        <v>6.0727146814404429E-2</v>
      </c>
      <c r="M43">
        <v>1.6694172033763874E-2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</row>
    <row r="44" spans="1:21" x14ac:dyDescent="0.25">
      <c r="A44" s="1">
        <v>42</v>
      </c>
      <c r="B44" t="s">
        <v>128</v>
      </c>
      <c r="C44">
        <v>1</v>
      </c>
      <c r="D44" s="8" t="s">
        <v>220</v>
      </c>
      <c r="E44">
        <v>20</v>
      </c>
      <c r="F44">
        <v>34</v>
      </c>
      <c r="G44">
        <v>1000</v>
      </c>
      <c r="H44">
        <v>50</v>
      </c>
      <c r="I44">
        <v>380</v>
      </c>
      <c r="J44">
        <v>380</v>
      </c>
      <c r="K44">
        <v>5.6094182825484765E-3</v>
      </c>
      <c r="L44">
        <v>6.0574792243767307E-2</v>
      </c>
      <c r="M44">
        <v>1.4516671333707716E-2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</row>
    <row r="45" spans="1:21" x14ac:dyDescent="0.25">
      <c r="A45" s="1">
        <v>43</v>
      </c>
      <c r="B45" t="s">
        <v>129</v>
      </c>
      <c r="C45">
        <v>1</v>
      </c>
      <c r="D45" s="8" t="s">
        <v>221</v>
      </c>
      <c r="E45">
        <v>20</v>
      </c>
      <c r="F45">
        <v>34</v>
      </c>
      <c r="G45">
        <v>1000</v>
      </c>
      <c r="H45">
        <v>50</v>
      </c>
      <c r="I45">
        <v>380</v>
      </c>
      <c r="J45">
        <v>380</v>
      </c>
      <c r="K45">
        <v>5.6094182825484765E-3</v>
      </c>
      <c r="L45">
        <v>6.0574792243767307E-2</v>
      </c>
      <c r="M45">
        <v>1.4516671333707716E-2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</row>
    <row r="46" spans="1:21" x14ac:dyDescent="0.25">
      <c r="A46" s="1">
        <v>44</v>
      </c>
      <c r="B46" t="s">
        <v>130</v>
      </c>
      <c r="C46">
        <v>1</v>
      </c>
      <c r="D46" t="s">
        <v>222</v>
      </c>
      <c r="E46">
        <v>21</v>
      </c>
      <c r="F46">
        <v>18</v>
      </c>
      <c r="G46">
        <v>1000</v>
      </c>
      <c r="H46">
        <v>50</v>
      </c>
      <c r="I46">
        <v>380</v>
      </c>
      <c r="J46">
        <v>380</v>
      </c>
      <c r="K46">
        <v>1.3850415512465372E-4</v>
      </c>
      <c r="L46">
        <v>2.2853185595567869E-3</v>
      </c>
      <c r="M46">
        <v>6.5325021001684709E-4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</row>
    <row r="47" spans="1:21" x14ac:dyDescent="0.25">
      <c r="A47" s="1">
        <v>45</v>
      </c>
      <c r="B47" t="s">
        <v>131</v>
      </c>
      <c r="C47">
        <v>1</v>
      </c>
      <c r="D47" t="s">
        <v>223</v>
      </c>
      <c r="E47">
        <v>21</v>
      </c>
      <c r="F47">
        <v>18</v>
      </c>
      <c r="G47">
        <v>1000</v>
      </c>
      <c r="H47">
        <v>50</v>
      </c>
      <c r="I47">
        <v>380</v>
      </c>
      <c r="J47">
        <v>380</v>
      </c>
      <c r="K47">
        <v>1.3850415512465372E-4</v>
      </c>
      <c r="L47">
        <v>2.2853185595567869E-3</v>
      </c>
      <c r="M47">
        <v>6.5325021001684709E-4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</row>
    <row r="48" spans="1:21" x14ac:dyDescent="0.25">
      <c r="A48" s="1">
        <v>46</v>
      </c>
      <c r="B48" t="s">
        <v>132</v>
      </c>
      <c r="C48">
        <v>1</v>
      </c>
      <c r="D48" t="s">
        <v>224</v>
      </c>
      <c r="E48">
        <v>39</v>
      </c>
      <c r="F48">
        <v>23</v>
      </c>
      <c r="G48">
        <v>1000</v>
      </c>
      <c r="H48">
        <v>50</v>
      </c>
      <c r="I48">
        <v>380</v>
      </c>
      <c r="J48">
        <v>380</v>
      </c>
      <c r="K48">
        <v>1.800554016620499E-3</v>
      </c>
      <c r="L48">
        <v>1.8559556786703603E-2</v>
      </c>
      <c r="M48">
        <v>7.4397940585252051E-3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 x14ac:dyDescent="0.25">
      <c r="A49" s="1">
        <v>47</v>
      </c>
      <c r="B49" t="s">
        <v>133</v>
      </c>
      <c r="C49">
        <v>1</v>
      </c>
      <c r="D49" t="s">
        <v>225</v>
      </c>
      <c r="E49">
        <v>39</v>
      </c>
      <c r="F49">
        <v>23</v>
      </c>
      <c r="G49">
        <v>1000</v>
      </c>
      <c r="H49">
        <v>50</v>
      </c>
      <c r="I49">
        <v>380</v>
      </c>
      <c r="J49">
        <v>380</v>
      </c>
      <c r="K49">
        <v>1.800554016620499E-3</v>
      </c>
      <c r="L49">
        <v>1.8559556786703603E-2</v>
      </c>
      <c r="M49">
        <v>7.4397940585252051E-3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 x14ac:dyDescent="0.25">
      <c r="A50" s="1">
        <v>48</v>
      </c>
      <c r="B50" t="s">
        <v>134</v>
      </c>
      <c r="C50">
        <v>1</v>
      </c>
      <c r="D50" t="s">
        <v>226</v>
      </c>
      <c r="E50">
        <v>22</v>
      </c>
      <c r="F50">
        <v>19</v>
      </c>
      <c r="G50">
        <v>1000</v>
      </c>
      <c r="H50">
        <v>50</v>
      </c>
      <c r="I50">
        <v>380</v>
      </c>
      <c r="J50">
        <v>380</v>
      </c>
      <c r="K50">
        <v>1.0180055401662048E-2</v>
      </c>
      <c r="L50">
        <v>0.13175900277008312</v>
      </c>
      <c r="M50">
        <v>2.8987978069497596E-2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 x14ac:dyDescent="0.25">
      <c r="A51" s="1">
        <v>49</v>
      </c>
      <c r="B51" t="s">
        <v>135</v>
      </c>
      <c r="C51">
        <v>1</v>
      </c>
      <c r="D51" t="s">
        <v>227</v>
      </c>
      <c r="E51">
        <v>22</v>
      </c>
      <c r="F51">
        <v>19</v>
      </c>
      <c r="G51">
        <v>1000</v>
      </c>
      <c r="H51">
        <v>50</v>
      </c>
      <c r="I51">
        <v>380</v>
      </c>
      <c r="J51">
        <v>380</v>
      </c>
      <c r="K51">
        <v>1.0180055401662048E-2</v>
      </c>
      <c r="L51">
        <v>0.13175900277008312</v>
      </c>
      <c r="M51">
        <v>2.8987978069497596E-2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</row>
    <row r="52" spans="1:21" x14ac:dyDescent="0.25">
      <c r="A52" s="1">
        <v>50</v>
      </c>
      <c r="B52" t="s">
        <v>136</v>
      </c>
      <c r="C52">
        <v>1</v>
      </c>
      <c r="D52" t="s">
        <v>228</v>
      </c>
      <c r="E52">
        <v>22</v>
      </c>
      <c r="F52">
        <v>19</v>
      </c>
      <c r="G52">
        <v>1000</v>
      </c>
      <c r="H52">
        <v>50</v>
      </c>
      <c r="I52">
        <v>380</v>
      </c>
      <c r="J52">
        <v>380</v>
      </c>
      <c r="K52">
        <v>1.0180055401662048E-2</v>
      </c>
      <c r="L52">
        <v>0.13175900277008312</v>
      </c>
      <c r="M52">
        <v>2.8987978069497596E-2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</row>
    <row r="53" spans="1:21" x14ac:dyDescent="0.25">
      <c r="A53" s="1">
        <v>51</v>
      </c>
      <c r="B53" t="s">
        <v>137</v>
      </c>
      <c r="C53">
        <v>1</v>
      </c>
      <c r="D53" t="s">
        <v>229</v>
      </c>
      <c r="E53">
        <v>22</v>
      </c>
      <c r="F53">
        <v>30</v>
      </c>
      <c r="G53">
        <v>1000</v>
      </c>
      <c r="H53">
        <v>50</v>
      </c>
      <c r="I53">
        <v>380</v>
      </c>
      <c r="J53">
        <v>380</v>
      </c>
      <c r="K53">
        <v>1.0415512465373962E-2</v>
      </c>
      <c r="L53">
        <v>0.11772160664819943</v>
      </c>
      <c r="M53">
        <v>2.776313392571601E-2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</row>
    <row r="54" spans="1:21" x14ac:dyDescent="0.25">
      <c r="A54" s="1">
        <v>52</v>
      </c>
      <c r="B54" t="s">
        <v>138</v>
      </c>
      <c r="C54">
        <v>1</v>
      </c>
      <c r="D54" t="s">
        <v>230</v>
      </c>
      <c r="E54">
        <v>22</v>
      </c>
      <c r="F54">
        <v>30</v>
      </c>
      <c r="G54">
        <v>1000</v>
      </c>
      <c r="H54">
        <v>50</v>
      </c>
      <c r="I54">
        <v>380</v>
      </c>
      <c r="J54">
        <v>380</v>
      </c>
      <c r="K54">
        <v>1.0415512465373962E-2</v>
      </c>
      <c r="L54">
        <v>0.11772160664819943</v>
      </c>
      <c r="M54">
        <v>2.776313392571601E-2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</row>
    <row r="55" spans="1:21" x14ac:dyDescent="0.25">
      <c r="A55" s="1">
        <v>53</v>
      </c>
      <c r="B55" t="s">
        <v>139</v>
      </c>
      <c r="C55">
        <v>1</v>
      </c>
      <c r="D55" t="s">
        <v>231</v>
      </c>
      <c r="E55">
        <v>24</v>
      </c>
      <c r="F55">
        <v>10</v>
      </c>
      <c r="G55">
        <v>1000</v>
      </c>
      <c r="H55">
        <v>50</v>
      </c>
      <c r="I55">
        <v>380</v>
      </c>
      <c r="J55">
        <v>380</v>
      </c>
      <c r="K55">
        <v>3.2548476454293627E-3</v>
      </c>
      <c r="L55">
        <v>3.7950138504155129E-2</v>
      </c>
      <c r="M55">
        <v>9.0729195835673234E-3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</row>
    <row r="56" spans="1:21" x14ac:dyDescent="0.25">
      <c r="A56" s="1">
        <v>54</v>
      </c>
      <c r="B56" t="s">
        <v>140</v>
      </c>
      <c r="C56">
        <v>1</v>
      </c>
      <c r="D56" t="s">
        <v>232</v>
      </c>
      <c r="E56">
        <v>24</v>
      </c>
      <c r="F56">
        <v>13</v>
      </c>
      <c r="G56">
        <v>1000</v>
      </c>
      <c r="H56">
        <v>50</v>
      </c>
      <c r="I56">
        <v>380</v>
      </c>
      <c r="J56">
        <v>380</v>
      </c>
      <c r="K56">
        <v>1.9598337950138506E-3</v>
      </c>
      <c r="L56">
        <v>3.1308864265927973E-2</v>
      </c>
      <c r="M56">
        <v>8.3924506147997728E-3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</row>
    <row r="57" spans="1:21" x14ac:dyDescent="0.25">
      <c r="A57" s="1">
        <v>55</v>
      </c>
      <c r="B57" t="s">
        <v>141</v>
      </c>
      <c r="C57">
        <v>1</v>
      </c>
      <c r="D57" t="s">
        <v>233</v>
      </c>
      <c r="E57">
        <v>24</v>
      </c>
      <c r="F57">
        <v>13</v>
      </c>
      <c r="G57">
        <v>1000</v>
      </c>
      <c r="H57">
        <v>50</v>
      </c>
      <c r="I57">
        <v>380</v>
      </c>
      <c r="J57">
        <v>380</v>
      </c>
      <c r="K57">
        <v>1.9598337950138506E-3</v>
      </c>
      <c r="L57">
        <v>3.1308864265927973E-2</v>
      </c>
      <c r="M57">
        <v>8.3924506147997728E-3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</row>
    <row r="58" spans="1:21" x14ac:dyDescent="0.25">
      <c r="A58" s="1">
        <v>56</v>
      </c>
      <c r="B58" t="s">
        <v>142</v>
      </c>
      <c r="C58">
        <v>1</v>
      </c>
      <c r="D58" t="s">
        <v>234</v>
      </c>
      <c r="E58">
        <v>24</v>
      </c>
      <c r="F58">
        <v>22</v>
      </c>
      <c r="G58">
        <v>1000</v>
      </c>
      <c r="H58">
        <v>50</v>
      </c>
      <c r="I58">
        <v>380</v>
      </c>
      <c r="J58">
        <v>380</v>
      </c>
      <c r="K58">
        <v>5.5055401662049853E-3</v>
      </c>
      <c r="L58">
        <v>6.4494459833795023E-2</v>
      </c>
      <c r="M58">
        <v>1.542396329206445E-2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</row>
    <row r="59" spans="1:21" x14ac:dyDescent="0.25">
      <c r="A59" s="1">
        <v>57</v>
      </c>
      <c r="B59" t="s">
        <v>143</v>
      </c>
      <c r="C59">
        <v>1</v>
      </c>
      <c r="D59" t="s">
        <v>235</v>
      </c>
      <c r="E59">
        <v>24</v>
      </c>
      <c r="F59">
        <v>22</v>
      </c>
      <c r="G59">
        <v>1000</v>
      </c>
      <c r="H59">
        <v>50</v>
      </c>
      <c r="I59">
        <v>380</v>
      </c>
      <c r="J59">
        <v>380</v>
      </c>
      <c r="K59">
        <v>5.5055401662049853E-3</v>
      </c>
      <c r="L59">
        <v>6.4494459833795023E-2</v>
      </c>
      <c r="M59">
        <v>1.542396329206445E-2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</row>
    <row r="60" spans="1:21" x14ac:dyDescent="0.25">
      <c r="A60" s="1">
        <v>58</v>
      </c>
      <c r="B60" t="s">
        <v>144</v>
      </c>
      <c r="C60">
        <v>1</v>
      </c>
      <c r="D60" t="s">
        <v>236</v>
      </c>
      <c r="E60">
        <v>24</v>
      </c>
      <c r="F60">
        <v>29</v>
      </c>
      <c r="G60">
        <v>1000</v>
      </c>
      <c r="H60">
        <v>50</v>
      </c>
      <c r="I60">
        <v>380</v>
      </c>
      <c r="J60">
        <v>380</v>
      </c>
      <c r="K60">
        <v>1.175207756232687E-2</v>
      </c>
      <c r="L60">
        <v>0.13749999999999998</v>
      </c>
      <c r="M60">
        <v>3.2889333490431542E-2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</row>
    <row r="61" spans="1:21" x14ac:dyDescent="0.25">
      <c r="A61" s="1">
        <v>59</v>
      </c>
      <c r="B61" t="s">
        <v>145</v>
      </c>
      <c r="C61">
        <v>1</v>
      </c>
      <c r="D61" t="s">
        <v>237</v>
      </c>
      <c r="E61">
        <v>25</v>
      </c>
      <c r="F61">
        <v>20</v>
      </c>
      <c r="G61">
        <v>1000</v>
      </c>
      <c r="H61">
        <v>50</v>
      </c>
      <c r="I61">
        <v>380</v>
      </c>
      <c r="J61">
        <v>380</v>
      </c>
      <c r="K61">
        <v>3.4072022160664822E-3</v>
      </c>
      <c r="L61">
        <v>3.9632963988919662E-2</v>
      </c>
      <c r="M61">
        <v>9.5265655627456876E-3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</row>
    <row r="62" spans="1:21" x14ac:dyDescent="0.25">
      <c r="A62" s="1">
        <v>60</v>
      </c>
      <c r="B62" t="s">
        <v>146</v>
      </c>
      <c r="C62">
        <v>1</v>
      </c>
      <c r="D62" t="s">
        <v>238</v>
      </c>
      <c r="E62">
        <v>25</v>
      </c>
      <c r="F62">
        <v>20</v>
      </c>
      <c r="G62">
        <v>1000</v>
      </c>
      <c r="H62">
        <v>50</v>
      </c>
      <c r="I62">
        <v>380</v>
      </c>
      <c r="J62">
        <v>380</v>
      </c>
      <c r="K62">
        <v>3.4072022160664822E-3</v>
      </c>
      <c r="L62">
        <v>3.9632963988919662E-2</v>
      </c>
      <c r="M62">
        <v>9.5265655627456876E-3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</row>
    <row r="63" spans="1:21" x14ac:dyDescent="0.25">
      <c r="A63" s="1">
        <v>61</v>
      </c>
      <c r="B63" t="s">
        <v>147</v>
      </c>
      <c r="C63">
        <v>1</v>
      </c>
      <c r="D63" t="s">
        <v>239</v>
      </c>
      <c r="E63">
        <v>26</v>
      </c>
      <c r="F63">
        <v>16</v>
      </c>
      <c r="G63">
        <v>1000</v>
      </c>
      <c r="H63">
        <v>50</v>
      </c>
      <c r="I63">
        <v>380</v>
      </c>
      <c r="J63">
        <v>380</v>
      </c>
      <c r="K63">
        <v>1.6038781163434903E-2</v>
      </c>
      <c r="L63">
        <v>0.18892659279778395</v>
      </c>
      <c r="M63">
        <v>4.5183139526165268E-2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</row>
    <row r="64" spans="1:21" x14ac:dyDescent="0.25">
      <c r="A64" s="1">
        <v>62</v>
      </c>
      <c r="B64" t="s">
        <v>148</v>
      </c>
      <c r="C64">
        <v>1</v>
      </c>
      <c r="D64" t="s">
        <v>240</v>
      </c>
      <c r="E64">
        <v>26</v>
      </c>
      <c r="F64">
        <v>16</v>
      </c>
      <c r="G64">
        <v>1000</v>
      </c>
      <c r="H64">
        <v>50</v>
      </c>
      <c r="I64">
        <v>380</v>
      </c>
      <c r="J64">
        <v>380</v>
      </c>
      <c r="K64">
        <v>1.6038781163434903E-2</v>
      </c>
      <c r="L64">
        <v>0.18892659279778395</v>
      </c>
      <c r="M64">
        <v>4.5183139526165268E-2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</row>
    <row r="65" spans="1:21" x14ac:dyDescent="0.25">
      <c r="A65" s="1">
        <v>63</v>
      </c>
      <c r="B65" t="s">
        <v>149</v>
      </c>
      <c r="C65">
        <v>1</v>
      </c>
      <c r="D65" t="s">
        <v>241</v>
      </c>
      <c r="E65">
        <v>26</v>
      </c>
      <c r="F65">
        <v>19</v>
      </c>
      <c r="G65">
        <v>1000</v>
      </c>
      <c r="H65">
        <v>50</v>
      </c>
      <c r="I65">
        <v>380</v>
      </c>
      <c r="J65">
        <v>380</v>
      </c>
      <c r="K65">
        <v>7.8462603878116342E-3</v>
      </c>
      <c r="L65">
        <v>9.2458448753462583E-2</v>
      </c>
      <c r="M65">
        <v>2.2092559185986432E-2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</row>
    <row r="66" spans="1:21" x14ac:dyDescent="0.25">
      <c r="A66" s="1">
        <v>64</v>
      </c>
      <c r="B66" t="s">
        <v>150</v>
      </c>
      <c r="C66">
        <v>1</v>
      </c>
      <c r="D66" t="s">
        <v>242</v>
      </c>
      <c r="E66">
        <v>26</v>
      </c>
      <c r="F66">
        <v>19</v>
      </c>
      <c r="G66">
        <v>1000</v>
      </c>
      <c r="H66">
        <v>50</v>
      </c>
      <c r="I66">
        <v>380</v>
      </c>
      <c r="J66">
        <v>380</v>
      </c>
      <c r="K66">
        <v>7.8462603878116342E-3</v>
      </c>
      <c r="L66">
        <v>9.2458448753462583E-2</v>
      </c>
      <c r="M66">
        <v>2.2092559185986432E-2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</row>
    <row r="67" spans="1:21" x14ac:dyDescent="0.25">
      <c r="A67" s="1">
        <v>65</v>
      </c>
      <c r="B67" t="s">
        <v>151</v>
      </c>
      <c r="C67">
        <v>1</v>
      </c>
      <c r="D67" t="s">
        <v>243</v>
      </c>
      <c r="E67">
        <v>26</v>
      </c>
      <c r="F67">
        <v>41</v>
      </c>
      <c r="G67">
        <v>1000</v>
      </c>
      <c r="H67">
        <v>50</v>
      </c>
      <c r="I67">
        <v>380</v>
      </c>
      <c r="J67">
        <v>380</v>
      </c>
      <c r="K67">
        <v>8.3379501385041563E-3</v>
      </c>
      <c r="L67">
        <v>7.7970914127423796E-2</v>
      </c>
      <c r="M67">
        <v>4.7632827813728438E-3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</row>
    <row r="68" spans="1:21" x14ac:dyDescent="0.25">
      <c r="A68" s="1">
        <v>66</v>
      </c>
      <c r="B68" t="s">
        <v>152</v>
      </c>
      <c r="C68">
        <v>1</v>
      </c>
      <c r="D68" t="s">
        <v>244</v>
      </c>
      <c r="E68">
        <v>26</v>
      </c>
      <c r="F68">
        <v>42</v>
      </c>
      <c r="G68">
        <v>1000</v>
      </c>
      <c r="H68">
        <v>50</v>
      </c>
      <c r="I68">
        <v>380</v>
      </c>
      <c r="J68">
        <v>380</v>
      </c>
      <c r="K68">
        <v>3.4487534626038781E-3</v>
      </c>
      <c r="L68">
        <v>3.3815789473684202E-2</v>
      </c>
      <c r="M68">
        <v>4.7632827813728438E-3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</row>
    <row r="69" spans="1:21" x14ac:dyDescent="0.25">
      <c r="A69" s="1">
        <v>67</v>
      </c>
      <c r="B69" t="s">
        <v>153</v>
      </c>
      <c r="C69">
        <v>1</v>
      </c>
      <c r="D69" t="s">
        <v>245</v>
      </c>
      <c r="E69">
        <v>27</v>
      </c>
      <c r="F69">
        <v>38</v>
      </c>
      <c r="G69">
        <v>1000</v>
      </c>
      <c r="H69">
        <v>50</v>
      </c>
      <c r="I69">
        <v>380</v>
      </c>
      <c r="J69">
        <v>380</v>
      </c>
      <c r="K69">
        <v>2.2576177285318559E-3</v>
      </c>
      <c r="L69">
        <v>2.5678670360110796E-2</v>
      </c>
      <c r="M69">
        <v>7.485158656443041E-3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</row>
    <row r="70" spans="1:21" x14ac:dyDescent="0.25">
      <c r="A70" s="1">
        <v>68</v>
      </c>
      <c r="B70" t="s">
        <v>154</v>
      </c>
      <c r="C70">
        <v>1</v>
      </c>
      <c r="D70" t="s">
        <v>246</v>
      </c>
      <c r="E70">
        <v>27</v>
      </c>
      <c r="F70">
        <v>38</v>
      </c>
      <c r="G70">
        <v>1000</v>
      </c>
      <c r="H70">
        <v>50</v>
      </c>
      <c r="I70">
        <v>380</v>
      </c>
      <c r="J70">
        <v>380</v>
      </c>
      <c r="K70">
        <v>2.2576177285318559E-3</v>
      </c>
      <c r="L70">
        <v>2.5678670360110796E-2</v>
      </c>
      <c r="M70">
        <v>7.485158656443041E-3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</row>
    <row r="71" spans="1:21" x14ac:dyDescent="0.25">
      <c r="A71" s="1">
        <v>69</v>
      </c>
      <c r="B71" t="s">
        <v>155</v>
      </c>
      <c r="C71">
        <v>1</v>
      </c>
      <c r="D71" s="8" t="s">
        <v>247</v>
      </c>
      <c r="E71">
        <v>28</v>
      </c>
      <c r="F71">
        <v>14</v>
      </c>
      <c r="G71">
        <v>1000</v>
      </c>
      <c r="H71">
        <v>50</v>
      </c>
      <c r="I71">
        <v>380</v>
      </c>
      <c r="J71">
        <v>380</v>
      </c>
      <c r="K71">
        <v>7.0317494140208847E-3</v>
      </c>
      <c r="L71">
        <v>0.11075005327082889</v>
      </c>
      <c r="M71">
        <v>2.9940634625772164E-2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 x14ac:dyDescent="0.25">
      <c r="A72" s="1">
        <v>70</v>
      </c>
      <c r="B72" t="s">
        <v>156</v>
      </c>
      <c r="C72">
        <v>1</v>
      </c>
      <c r="D72" s="8" t="s">
        <v>248</v>
      </c>
      <c r="E72">
        <v>28</v>
      </c>
      <c r="F72">
        <v>14</v>
      </c>
      <c r="G72">
        <v>1000</v>
      </c>
      <c r="H72">
        <v>50</v>
      </c>
      <c r="I72">
        <v>380</v>
      </c>
      <c r="J72">
        <v>380</v>
      </c>
      <c r="K72">
        <v>7.0317494140208847E-3</v>
      </c>
      <c r="L72">
        <v>0.11075005327082889</v>
      </c>
      <c r="M72">
        <v>2.9940634625772164E-2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</row>
    <row r="73" spans="1:21" x14ac:dyDescent="0.25">
      <c r="A73" s="1">
        <v>71</v>
      </c>
      <c r="B73" t="s">
        <v>157</v>
      </c>
      <c r="C73">
        <v>1</v>
      </c>
      <c r="D73" s="8" t="s">
        <v>249</v>
      </c>
      <c r="E73">
        <v>29</v>
      </c>
      <c r="F73">
        <v>15</v>
      </c>
      <c r="G73">
        <v>1000</v>
      </c>
      <c r="H73">
        <v>50</v>
      </c>
      <c r="I73">
        <v>380</v>
      </c>
      <c r="J73">
        <v>380</v>
      </c>
      <c r="K73">
        <v>2.4584487534626042E-3</v>
      </c>
      <c r="L73">
        <v>2.8815789473684208E-2</v>
      </c>
      <c r="M73">
        <v>6.8954188835111648E-3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</row>
    <row r="74" spans="1:21" x14ac:dyDescent="0.25">
      <c r="A74" s="1">
        <v>72</v>
      </c>
      <c r="B74" t="s">
        <v>158</v>
      </c>
      <c r="C74">
        <v>1</v>
      </c>
      <c r="D74" t="s">
        <v>250</v>
      </c>
      <c r="E74">
        <v>30</v>
      </c>
      <c r="F74">
        <v>44</v>
      </c>
      <c r="G74">
        <v>1000</v>
      </c>
      <c r="H74">
        <v>50</v>
      </c>
      <c r="I74">
        <v>380</v>
      </c>
      <c r="J74">
        <v>380</v>
      </c>
      <c r="K74">
        <v>1.1426592797783935E-3</v>
      </c>
      <c r="L74">
        <v>1.2576177285318561E-2</v>
      </c>
      <c r="M74">
        <v>2.9940634625772169E-3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</row>
    <row r="75" spans="1:21" x14ac:dyDescent="0.25">
      <c r="A75" s="1">
        <v>73</v>
      </c>
      <c r="B75" t="s">
        <v>159</v>
      </c>
      <c r="C75">
        <v>1</v>
      </c>
      <c r="D75" t="s">
        <v>251</v>
      </c>
      <c r="E75">
        <v>30</v>
      </c>
      <c r="F75">
        <v>44</v>
      </c>
      <c r="G75">
        <v>1000</v>
      </c>
      <c r="H75">
        <v>50</v>
      </c>
      <c r="I75">
        <v>380</v>
      </c>
      <c r="J75">
        <v>380</v>
      </c>
      <c r="K75">
        <v>1.1426592797783935E-3</v>
      </c>
      <c r="L75">
        <v>1.2576177285318561E-2</v>
      </c>
      <c r="M75">
        <v>2.9940634625772169E-3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</row>
    <row r="76" spans="1:21" x14ac:dyDescent="0.25">
      <c r="A76" s="1">
        <v>74</v>
      </c>
      <c r="B76" t="s">
        <v>160</v>
      </c>
      <c r="C76">
        <v>1</v>
      </c>
      <c r="D76" t="s">
        <v>252</v>
      </c>
      <c r="E76">
        <v>43</v>
      </c>
      <c r="F76">
        <v>26</v>
      </c>
      <c r="G76">
        <v>1000</v>
      </c>
      <c r="H76">
        <v>50</v>
      </c>
      <c r="I76">
        <v>380</v>
      </c>
      <c r="J76">
        <v>380</v>
      </c>
      <c r="K76">
        <v>1.10803324099723E-3</v>
      </c>
      <c r="L76">
        <v>1.28808864265928E-2</v>
      </c>
      <c r="M76">
        <v>3.6745324313447658E-3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</row>
    <row r="77" spans="1:21" x14ac:dyDescent="0.25">
      <c r="A77" s="1">
        <v>75</v>
      </c>
      <c r="B77" t="s">
        <v>161</v>
      </c>
      <c r="C77">
        <v>1</v>
      </c>
      <c r="D77" t="s">
        <v>253</v>
      </c>
      <c r="E77">
        <v>43</v>
      </c>
      <c r="F77">
        <v>26</v>
      </c>
      <c r="G77">
        <v>1000</v>
      </c>
      <c r="H77">
        <v>50</v>
      </c>
      <c r="I77">
        <v>380</v>
      </c>
      <c r="J77">
        <v>380</v>
      </c>
      <c r="K77">
        <v>1.10803324099723E-3</v>
      </c>
      <c r="L77">
        <v>1.28808864265928E-2</v>
      </c>
      <c r="M77">
        <v>3.6745324313447658E-3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</row>
    <row r="78" spans="1:21" x14ac:dyDescent="0.25">
      <c r="A78" s="1">
        <v>76</v>
      </c>
      <c r="B78" t="s">
        <v>162</v>
      </c>
      <c r="C78">
        <v>1</v>
      </c>
      <c r="D78" t="s">
        <v>254</v>
      </c>
      <c r="E78">
        <v>32</v>
      </c>
      <c r="F78">
        <v>28</v>
      </c>
      <c r="G78">
        <v>1000</v>
      </c>
      <c r="H78">
        <v>50</v>
      </c>
      <c r="I78">
        <v>380</v>
      </c>
      <c r="J78">
        <v>380</v>
      </c>
      <c r="K78">
        <v>2.0673941479011798E-3</v>
      </c>
      <c r="L78">
        <v>8.3159028149857803E-2</v>
      </c>
      <c r="M78">
        <v>9.2543779752386705E-3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</row>
    <row r="79" spans="1:21" x14ac:dyDescent="0.25">
      <c r="A79" s="1">
        <v>77</v>
      </c>
      <c r="B79" t="s">
        <v>163</v>
      </c>
      <c r="C79">
        <v>1</v>
      </c>
      <c r="D79" t="s">
        <v>255</v>
      </c>
      <c r="E79">
        <v>32</v>
      </c>
      <c r="F79">
        <v>28</v>
      </c>
      <c r="G79">
        <v>1000</v>
      </c>
      <c r="H79">
        <v>50</v>
      </c>
      <c r="I79">
        <v>380</v>
      </c>
      <c r="J79">
        <v>380</v>
      </c>
      <c r="K79">
        <v>2.0673941479011798E-3</v>
      </c>
      <c r="L79">
        <v>8.3159028149857803E-2</v>
      </c>
      <c r="M79">
        <v>9.2543779752386705E-3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</row>
    <row r="80" spans="1:21" x14ac:dyDescent="0.25">
      <c r="A80" s="1">
        <v>78</v>
      </c>
      <c r="B80" t="s">
        <v>164</v>
      </c>
      <c r="C80">
        <v>1</v>
      </c>
      <c r="D80" t="s">
        <v>256</v>
      </c>
      <c r="E80">
        <v>33</v>
      </c>
      <c r="F80">
        <v>13</v>
      </c>
      <c r="G80">
        <v>1000</v>
      </c>
      <c r="H80">
        <v>50</v>
      </c>
      <c r="I80">
        <v>380</v>
      </c>
      <c r="J80">
        <v>380</v>
      </c>
      <c r="K80">
        <v>1.2188365650969528E-3</v>
      </c>
      <c r="L80">
        <v>2.5311634349030464E-2</v>
      </c>
      <c r="M80">
        <v>9.980211541924057E-3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</row>
    <row r="81" spans="1:21" x14ac:dyDescent="0.25">
      <c r="A81" s="1">
        <v>79</v>
      </c>
      <c r="B81" t="s">
        <v>165</v>
      </c>
      <c r="C81">
        <v>1</v>
      </c>
      <c r="D81" t="s">
        <v>257</v>
      </c>
      <c r="E81">
        <v>33</v>
      </c>
      <c r="F81">
        <v>13</v>
      </c>
      <c r="G81">
        <v>1000</v>
      </c>
      <c r="H81">
        <v>50</v>
      </c>
      <c r="I81">
        <v>380</v>
      </c>
      <c r="J81">
        <v>380</v>
      </c>
      <c r="K81">
        <v>1.2188365650969528E-3</v>
      </c>
      <c r="L81">
        <v>2.5311634349030464E-2</v>
      </c>
      <c r="M81">
        <v>9.980211541924057E-3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</row>
    <row r="82" spans="1:21" x14ac:dyDescent="0.25">
      <c r="A82" s="1">
        <v>80</v>
      </c>
      <c r="B82" t="s">
        <v>166</v>
      </c>
      <c r="C82">
        <v>1</v>
      </c>
      <c r="D82" s="8" t="s">
        <v>258</v>
      </c>
      <c r="E82">
        <v>33</v>
      </c>
      <c r="F82">
        <v>32</v>
      </c>
      <c r="G82">
        <v>1000</v>
      </c>
      <c r="H82">
        <v>50</v>
      </c>
      <c r="I82">
        <v>380</v>
      </c>
      <c r="J82">
        <v>380</v>
      </c>
      <c r="K82">
        <v>7.1329639889196664E-4</v>
      </c>
      <c r="L82">
        <v>1.1509695290858728E-2</v>
      </c>
      <c r="M82">
        <v>3.08479265841289E-3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</row>
    <row r="83" spans="1:21" x14ac:dyDescent="0.25">
      <c r="A83" s="1">
        <v>81</v>
      </c>
      <c r="B83" t="s">
        <v>167</v>
      </c>
      <c r="C83">
        <v>1</v>
      </c>
      <c r="D83" s="8" t="s">
        <v>259</v>
      </c>
      <c r="E83">
        <v>33</v>
      </c>
      <c r="F83">
        <v>32</v>
      </c>
      <c r="G83">
        <v>1000</v>
      </c>
      <c r="H83">
        <v>50</v>
      </c>
      <c r="I83">
        <v>380</v>
      </c>
      <c r="J83">
        <v>380</v>
      </c>
      <c r="K83">
        <v>7.1329639889196664E-4</v>
      </c>
      <c r="L83">
        <v>1.1509695290858728E-2</v>
      </c>
      <c r="M83">
        <v>3.08479265841289E-3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</row>
    <row r="84" spans="1:21" x14ac:dyDescent="0.25">
      <c r="A84" s="1">
        <v>82</v>
      </c>
      <c r="B84" t="s">
        <v>168</v>
      </c>
      <c r="C84">
        <v>1</v>
      </c>
      <c r="D84" t="s">
        <v>260</v>
      </c>
      <c r="E84">
        <v>34</v>
      </c>
      <c r="F84">
        <v>23</v>
      </c>
      <c r="G84">
        <v>1000</v>
      </c>
      <c r="H84">
        <v>50</v>
      </c>
      <c r="I84">
        <v>380</v>
      </c>
      <c r="J84">
        <v>380</v>
      </c>
      <c r="K84">
        <v>1.0595567867036011E-2</v>
      </c>
      <c r="L84">
        <v>0.11444598337950138</v>
      </c>
      <c r="M84">
        <v>2.7354852544455483E-2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</row>
    <row r="85" spans="1:21" x14ac:dyDescent="0.25">
      <c r="A85" s="1">
        <v>83</v>
      </c>
      <c r="B85" t="s">
        <v>169</v>
      </c>
      <c r="C85">
        <v>1</v>
      </c>
      <c r="D85" t="s">
        <v>261</v>
      </c>
      <c r="E85">
        <v>34</v>
      </c>
      <c r="F85">
        <v>23</v>
      </c>
      <c r="G85">
        <v>1000</v>
      </c>
      <c r="H85">
        <v>50</v>
      </c>
      <c r="I85">
        <v>380</v>
      </c>
      <c r="J85">
        <v>380</v>
      </c>
      <c r="K85">
        <v>1.0595567867036011E-2</v>
      </c>
      <c r="L85">
        <v>0.11444598337950138</v>
      </c>
      <c r="M85">
        <v>2.7354852544455483E-2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</row>
    <row r="86" spans="1:21" x14ac:dyDescent="0.25">
      <c r="A86" s="1">
        <v>84</v>
      </c>
      <c r="B86" t="s">
        <v>170</v>
      </c>
      <c r="C86">
        <v>1</v>
      </c>
      <c r="D86" t="s">
        <v>262</v>
      </c>
      <c r="E86">
        <v>34</v>
      </c>
      <c r="F86">
        <v>27</v>
      </c>
      <c r="G86">
        <v>1000</v>
      </c>
      <c r="H86">
        <v>50</v>
      </c>
      <c r="I86">
        <v>380</v>
      </c>
      <c r="J86">
        <v>380</v>
      </c>
      <c r="K86">
        <v>1.0367036011080331E-2</v>
      </c>
      <c r="L86">
        <v>0.17750692520775624</v>
      </c>
      <c r="M86">
        <v>4.8903036555427881E-2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</row>
    <row r="87" spans="1:21" x14ac:dyDescent="0.25">
      <c r="A87" s="1">
        <v>85</v>
      </c>
      <c r="B87" t="s">
        <v>171</v>
      </c>
      <c r="C87">
        <v>1</v>
      </c>
      <c r="D87" t="s">
        <v>263</v>
      </c>
      <c r="E87">
        <v>34</v>
      </c>
      <c r="F87">
        <v>27</v>
      </c>
      <c r="G87">
        <v>1000</v>
      </c>
      <c r="H87">
        <v>50</v>
      </c>
      <c r="I87">
        <v>380</v>
      </c>
      <c r="J87">
        <v>380</v>
      </c>
      <c r="K87">
        <v>1.0367036011080331E-2</v>
      </c>
      <c r="L87">
        <v>0.17750692520775624</v>
      </c>
      <c r="M87">
        <v>4.8903036555427881E-2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</row>
    <row r="88" spans="1:21" x14ac:dyDescent="0.25">
      <c r="A88" s="1">
        <v>86</v>
      </c>
      <c r="B88" t="s">
        <v>172</v>
      </c>
      <c r="C88">
        <v>1</v>
      </c>
      <c r="D88" t="s">
        <v>264</v>
      </c>
      <c r="E88">
        <v>36</v>
      </c>
      <c r="F88">
        <v>21</v>
      </c>
      <c r="G88">
        <v>1000</v>
      </c>
      <c r="H88">
        <v>50</v>
      </c>
      <c r="I88">
        <v>380</v>
      </c>
      <c r="J88">
        <v>380</v>
      </c>
      <c r="K88">
        <v>9.6260387811634348E-6</v>
      </c>
      <c r="L88">
        <v>1.5872576177285318E-4</v>
      </c>
      <c r="M88">
        <v>4.5364597917836615E-5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</row>
    <row r="89" spans="1:21" x14ac:dyDescent="0.25">
      <c r="A89" s="1">
        <v>87</v>
      </c>
      <c r="B89" t="s">
        <v>173</v>
      </c>
      <c r="C89">
        <v>1</v>
      </c>
      <c r="D89" t="s">
        <v>265</v>
      </c>
      <c r="E89">
        <v>36</v>
      </c>
      <c r="F89">
        <v>21</v>
      </c>
      <c r="G89">
        <v>1000</v>
      </c>
      <c r="H89">
        <v>50</v>
      </c>
      <c r="I89">
        <v>380</v>
      </c>
      <c r="J89">
        <v>380</v>
      </c>
      <c r="K89">
        <v>9.6260387811634348E-6</v>
      </c>
      <c r="L89">
        <v>1.5872576177285318E-4</v>
      </c>
      <c r="M89">
        <v>4.5364597917836615E-5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</row>
    <row r="90" spans="1:21" x14ac:dyDescent="0.25">
      <c r="A90" s="1">
        <v>88</v>
      </c>
      <c r="B90" t="s">
        <v>174</v>
      </c>
      <c r="C90">
        <v>1</v>
      </c>
      <c r="D90" t="s">
        <v>266</v>
      </c>
      <c r="E90">
        <v>37</v>
      </c>
      <c r="F90">
        <v>18</v>
      </c>
      <c r="G90">
        <v>1000</v>
      </c>
      <c r="H90">
        <v>50</v>
      </c>
      <c r="I90">
        <v>380</v>
      </c>
      <c r="J90">
        <v>380</v>
      </c>
      <c r="K90">
        <v>9.6260387811634348E-6</v>
      </c>
      <c r="L90">
        <v>1.5872576177285318E-4</v>
      </c>
      <c r="M90">
        <v>4.5364597917836615E-5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</row>
    <row r="91" spans="1:21" x14ac:dyDescent="0.25">
      <c r="A91" s="1">
        <v>89</v>
      </c>
      <c r="B91" t="s">
        <v>175</v>
      </c>
      <c r="C91">
        <v>1</v>
      </c>
      <c r="D91" t="s">
        <v>267</v>
      </c>
      <c r="E91">
        <v>37</v>
      </c>
      <c r="F91">
        <v>18</v>
      </c>
      <c r="G91">
        <v>1000</v>
      </c>
      <c r="H91">
        <v>50</v>
      </c>
      <c r="I91">
        <v>380</v>
      </c>
      <c r="J91">
        <v>380</v>
      </c>
      <c r="K91">
        <v>9.6260387811634348E-6</v>
      </c>
      <c r="L91">
        <v>1.5872576177285318E-4</v>
      </c>
      <c r="M91">
        <v>4.5364597917836615E-5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 x14ac:dyDescent="0.25">
      <c r="A92" s="1">
        <v>90</v>
      </c>
      <c r="B92" t="s">
        <v>176</v>
      </c>
      <c r="C92">
        <v>1</v>
      </c>
      <c r="D92" t="s">
        <v>268</v>
      </c>
      <c r="E92">
        <v>35</v>
      </c>
      <c r="F92">
        <v>28</v>
      </c>
      <c r="G92">
        <v>1000</v>
      </c>
      <c r="H92">
        <v>50</v>
      </c>
      <c r="I92">
        <v>380</v>
      </c>
      <c r="J92">
        <v>380</v>
      </c>
      <c r="K92">
        <v>9.6260387811634348E-6</v>
      </c>
      <c r="L92">
        <v>1.5872576177285318E-4</v>
      </c>
      <c r="M92">
        <v>4.5364597917836615E-5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</row>
    <row r="93" spans="1:21" x14ac:dyDescent="0.25">
      <c r="A93" s="1">
        <v>91</v>
      </c>
      <c r="B93" t="s">
        <v>177</v>
      </c>
      <c r="C93">
        <v>1</v>
      </c>
      <c r="D93" t="s">
        <v>269</v>
      </c>
      <c r="E93">
        <v>35</v>
      </c>
      <c r="F93">
        <v>28</v>
      </c>
      <c r="G93">
        <v>1000</v>
      </c>
      <c r="H93">
        <v>50</v>
      </c>
      <c r="I93">
        <v>380</v>
      </c>
      <c r="J93">
        <v>380</v>
      </c>
      <c r="K93">
        <v>9.6260387811634348E-6</v>
      </c>
      <c r="L93">
        <v>1.5872576177285318E-4</v>
      </c>
      <c r="M93">
        <v>4.5364597917836615E-5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</row>
    <row r="94" spans="1:21" x14ac:dyDescent="0.25">
      <c r="A94" s="1">
        <v>92</v>
      </c>
      <c r="B94" t="s">
        <v>283</v>
      </c>
      <c r="C94">
        <v>1</v>
      </c>
      <c r="D94" s="5" t="s">
        <v>280</v>
      </c>
      <c r="E94" s="5">
        <v>18</v>
      </c>
      <c r="F94" s="5">
        <v>0</v>
      </c>
      <c r="G94" s="7">
        <v>2250</v>
      </c>
      <c r="H94">
        <v>50</v>
      </c>
      <c r="I94" s="5">
        <v>380</v>
      </c>
      <c r="J94" s="5">
        <v>220</v>
      </c>
      <c r="K94" s="7">
        <v>5.9999999999999995E-4</v>
      </c>
      <c r="L94" s="7">
        <v>7.9997749968358484E-2</v>
      </c>
      <c r="M94" s="6">
        <v>0</v>
      </c>
      <c r="N94" s="6">
        <v>0</v>
      </c>
      <c r="O94">
        <v>0</v>
      </c>
      <c r="P94">
        <v>0</v>
      </c>
      <c r="Q94">
        <v>0</v>
      </c>
      <c r="R94">
        <v>0</v>
      </c>
      <c r="S94" s="5">
        <v>1</v>
      </c>
      <c r="T94" s="6">
        <f>I94/J94</f>
        <v>1.7272727272727273</v>
      </c>
      <c r="U94" s="5">
        <v>0</v>
      </c>
    </row>
    <row r="95" spans="1:21" x14ac:dyDescent="0.25">
      <c r="A95" s="1">
        <v>93</v>
      </c>
      <c r="B95" t="s">
        <v>284</v>
      </c>
      <c r="C95">
        <v>1</v>
      </c>
      <c r="D95" s="5" t="s">
        <v>281</v>
      </c>
      <c r="E95" s="5">
        <v>20</v>
      </c>
      <c r="F95" s="5">
        <v>1</v>
      </c>
      <c r="G95" s="7">
        <v>1000</v>
      </c>
      <c r="H95">
        <v>50</v>
      </c>
      <c r="I95" s="5">
        <v>380</v>
      </c>
      <c r="J95" s="5">
        <v>220</v>
      </c>
      <c r="K95" s="7">
        <v>5.9999999999999995E-4</v>
      </c>
      <c r="L95" s="7">
        <v>7.9997749968358484E-2</v>
      </c>
      <c r="M95" s="6">
        <v>0</v>
      </c>
      <c r="N95" s="6">
        <v>0</v>
      </c>
      <c r="O95">
        <v>0</v>
      </c>
      <c r="P95">
        <v>0</v>
      </c>
      <c r="Q95">
        <v>0</v>
      </c>
      <c r="R95">
        <v>0</v>
      </c>
      <c r="S95" s="5">
        <v>1</v>
      </c>
      <c r="T95" s="6">
        <f t="shared" ref="T95:T96" si="0">I95/J95</f>
        <v>1.7272727272727273</v>
      </c>
      <c r="U95" s="5">
        <v>0</v>
      </c>
    </row>
    <row r="96" spans="1:21" x14ac:dyDescent="0.25">
      <c r="A96" s="1">
        <v>94</v>
      </c>
      <c r="B96" t="s">
        <v>285</v>
      </c>
      <c r="C96">
        <v>1</v>
      </c>
      <c r="D96" s="5" t="s">
        <v>282</v>
      </c>
      <c r="E96" s="5">
        <v>27</v>
      </c>
      <c r="F96" s="5">
        <v>4</v>
      </c>
      <c r="G96" s="7">
        <v>750</v>
      </c>
      <c r="H96">
        <v>50</v>
      </c>
      <c r="I96" s="5">
        <v>380</v>
      </c>
      <c r="J96" s="5">
        <v>220</v>
      </c>
      <c r="K96" s="7">
        <v>5.9999999999999995E-4</v>
      </c>
      <c r="L96" s="7">
        <v>7.9997749968358484E-2</v>
      </c>
      <c r="M96" s="6">
        <v>0</v>
      </c>
      <c r="N96" s="6">
        <v>0</v>
      </c>
      <c r="O96">
        <v>0</v>
      </c>
      <c r="P96">
        <v>0</v>
      </c>
      <c r="Q96">
        <v>0</v>
      </c>
      <c r="R96">
        <v>0</v>
      </c>
      <c r="S96" s="5">
        <v>1</v>
      </c>
      <c r="T96" s="6">
        <f t="shared" si="0"/>
        <v>1.7272727272727273</v>
      </c>
      <c r="U96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Bus</vt:lpstr>
      <vt:lpstr>PV</vt:lpstr>
      <vt:lpstr>Slack</vt:lpstr>
      <vt:lpstr>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Pieter van Rhee</cp:lastModifiedBy>
  <dcterms:created xsi:type="dcterms:W3CDTF">2020-05-02T03:57:28Z</dcterms:created>
  <dcterms:modified xsi:type="dcterms:W3CDTF">2026-01-08T18:57:54Z</dcterms:modified>
</cp:coreProperties>
</file>