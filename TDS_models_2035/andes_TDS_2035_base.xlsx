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Modeling_Documentation\"/>
    </mc:Choice>
  </mc:AlternateContent>
  <xr:revisionPtr revIDLastSave="0" documentId="13_ncr:1_{336BD046-20B3-4BF2-B8E3-8DD6370CB52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8" r:id="rId9"/>
    <sheet name="REGCA1" sheetId="19" r:id="rId10"/>
    <sheet name="BusFreq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M11" i="3"/>
  <c r="T126" i="5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P90" i="19"/>
  <c r="O90" i="19"/>
  <c r="N90" i="19"/>
  <c r="K90" i="19"/>
  <c r="J90" i="19"/>
  <c r="P86" i="19"/>
  <c r="O86" i="19"/>
  <c r="N86" i="19"/>
  <c r="K86" i="19"/>
  <c r="J86" i="19"/>
  <c r="P85" i="19"/>
  <c r="O85" i="19"/>
  <c r="N85" i="19"/>
  <c r="K85" i="19"/>
  <c r="J85" i="19"/>
  <c r="P82" i="19"/>
  <c r="O82" i="19"/>
  <c r="N82" i="19"/>
  <c r="K82" i="19"/>
  <c r="J82" i="19"/>
  <c r="P74" i="19"/>
  <c r="O74" i="19"/>
  <c r="N74" i="19"/>
  <c r="K74" i="19"/>
  <c r="J74" i="19"/>
  <c r="P40" i="19"/>
  <c r="O40" i="19"/>
  <c r="N40" i="19"/>
  <c r="K40" i="19"/>
  <c r="J40" i="19"/>
  <c r="P39" i="19"/>
  <c r="O39" i="19"/>
  <c r="N39" i="19"/>
  <c r="K39" i="19"/>
  <c r="J39" i="19"/>
  <c r="P38" i="19"/>
  <c r="O38" i="19"/>
  <c r="N38" i="19"/>
  <c r="K38" i="19"/>
  <c r="J38" i="19"/>
  <c r="P31" i="19"/>
  <c r="O31" i="19"/>
  <c r="N31" i="19"/>
  <c r="K31" i="19"/>
  <c r="J31" i="19"/>
  <c r="P30" i="19"/>
  <c r="O30" i="19"/>
  <c r="N30" i="19"/>
  <c r="K30" i="19"/>
  <c r="J30" i="19"/>
  <c r="P29" i="19"/>
  <c r="O29" i="19"/>
  <c r="N29" i="19"/>
  <c r="K29" i="19"/>
  <c r="J29" i="19"/>
  <c r="P24" i="19"/>
  <c r="O24" i="19"/>
  <c r="N24" i="19"/>
  <c r="K24" i="19"/>
  <c r="J24" i="19"/>
  <c r="P23" i="19"/>
  <c r="O23" i="19"/>
  <c r="N23" i="19"/>
  <c r="K23" i="19"/>
  <c r="J23" i="19"/>
  <c r="P22" i="19"/>
  <c r="O22" i="19"/>
  <c r="N22" i="19"/>
  <c r="K22" i="19"/>
  <c r="J22" i="19"/>
  <c r="P16" i="19"/>
  <c r="O16" i="19"/>
  <c r="N16" i="19"/>
  <c r="K16" i="19"/>
  <c r="J16" i="19"/>
  <c r="P15" i="19"/>
  <c r="O15" i="19"/>
  <c r="N15" i="19"/>
  <c r="K15" i="19"/>
  <c r="J15" i="19"/>
  <c r="P12" i="19"/>
  <c r="O12" i="19"/>
  <c r="N12" i="19"/>
  <c r="K12" i="19"/>
  <c r="J12" i="19"/>
  <c r="P9" i="19"/>
  <c r="O9" i="19"/>
  <c r="N9" i="19"/>
  <c r="K9" i="19"/>
  <c r="J9" i="19"/>
  <c r="P8" i="19"/>
  <c r="O8" i="19"/>
  <c r="N8" i="19"/>
  <c r="K8" i="19"/>
  <c r="J8" i="19"/>
  <c r="P7" i="19"/>
  <c r="O7" i="19"/>
  <c r="N7" i="19"/>
  <c r="K7" i="19"/>
  <c r="J7" i="19"/>
  <c r="N2" i="4"/>
  <c r="M2" i="4"/>
  <c r="L2" i="4"/>
  <c r="K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83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I10" i="3"/>
  <c r="I8" i="3"/>
  <c r="I9" i="3"/>
  <c r="I3" i="3"/>
  <c r="I4" i="3"/>
  <c r="I5" i="3"/>
  <c r="I6" i="3"/>
  <c r="I7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26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<sst xmlns="http://schemas.openxmlformats.org/spreadsheetml/2006/main" count="1209" uniqueCount="992">
  <si>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</si>
  <si>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</si>
  <si>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</si>
  <si>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</si>
  <si>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</si>
  <si>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</si>
  <si>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</si>
  <si>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</si>
  <si>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</si>
  <si>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</si>
  <si>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</si>
  <si>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</si>
  <si>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</si>
  <si>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</si>
  <si>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</si>
  <si>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</si>
  <si>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</si>
  <si>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</si>
  <si>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</si>
  <si>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</si>
  <si>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</si>
  <si>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</si>
  <si>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</si>
  <si>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</si>
  <si>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</si>
  <si>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</si>
  <si>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</si>
  <si>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</si>
  <si>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</si>
  <si>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</si>
  <si>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</si>
  <si>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</si>
  <si>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</si>
  <si>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</si>
  <si>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</si>
  <si>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</si>
  <si>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</si>
  <si>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</si>
  <si>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</si>
  <si>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</si>
  <si>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</si>
  <si>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</si>
  <si>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</si>
  <si>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</si>
  <si>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</si>
  <si>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</si>
  <si>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</si>
  <si>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</si>
  <si>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</si>
  <si>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</si>
  <si>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</si>
  <si>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</si>
  <si>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</si>
  <si>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</si>
  <si>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</si>
  <si>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</si>
  <si>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</si>
  <si>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</si>
  <si>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</si>
  <si>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</si>
  <si>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</si>
  <si>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</si>
  <si>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</si>
  <si>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</si>
  <si>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</si>
  <si>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</si>
  <si>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</si>
  <si>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</si>
  <si>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</si>
  <si>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</si>
  <si>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</si>
  <si>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</si>
  <si>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</si>
  <si>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</si>
  <si>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</si>
  <si>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</si>
  <si>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</si>
  <si>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</si>
  <si>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</si>
  <si>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</si>
  <si>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</si>
  <si>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</si>
  <si>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</si>
  <si>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</si>
  <si>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</si>
  <si>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</si>
  <si>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</si>
  <si>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</si>
  <si>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</si>
  <si>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</si>
  <si>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</si>
  <si>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</si>
  <si>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</si>
  <si>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</si>
  <si>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</si>
  <si>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</si>
  <si>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</si>
  <si>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</si>
  <si>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</si>
  <si>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</si>
  <si>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</si>
  <si>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</si>
  <si>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</si>
  <si>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</si>
  <si>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</si>
  <si>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</si>
  <si>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</si>
  <si>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</si>
  <si>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</si>
  <si>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</si>
  <si>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</si>
  <si>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</si>
  <si>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</si>
  <si>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</si>
  <si>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</si>
  <si>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</si>
  <si>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</si>
  <si>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</si>
  <si>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</si>
  <si>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</si>
  <si>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</si>
  <si>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</si>
  <si>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</si>
  <si>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</si>
  <si>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</si>
  <si>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</si>
  <si>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</si>
  <si>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</si>
  <si>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</si>
  <si>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</si>
  <si>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</si>
  <si>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</si>
  <si>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</si>
  <si>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</si>
  <si>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</si>
  <si>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</si>
  <si>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</si>
  <si>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</si>
  <si>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</si>
  <si>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</si>
  <si>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</si>
  <si>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</si>
  <si>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</si>
  <si>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</si>
  <si>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</si>
  <si>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</si>
  <si>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</si>
  <si>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</si>
  <si>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</si>
  <si>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</si>
  <si>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</si>
  <si>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</si>
  <si>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</si>
  <si>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</si>
  <si>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</si>
  <si>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</si>
  <si>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</si>
  <si>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</si>
  <si>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</si>
  <si>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</si>
  <si>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</si>
  <si>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</si>
  <si>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</si>
  <si>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</si>
  <si>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</si>
  <si>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</si>
  <si>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</si>
  <si>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</si>
  <si>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</si>
  <si>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</si>
  <si>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</si>
  <si>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</si>
  <si>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</si>
  <si>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</si>
  <si>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</si>
  <si>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</si>
  <si>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</si>
  <si>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</si>
  <si>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</si>
  <si>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</si>
  <si>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</si>
  <si>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</si>
  <si>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</si>
  <si>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</si>
  <si>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</si>
  <si>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</si>
  <si>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</si>
  <si>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</si>
  <si>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</si>
  <si>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</si>
  <si>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</si>
  <si>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</si>
  <si>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</si>
  <si>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</si>
  <si>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</si>
  <si>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</si>
  <si>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</si>
  <si>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</si>
  <si>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</si>
  <si>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</si>
  <si>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</si>
  <si>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</si>
  <si>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</si>
  <si>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</si>
  <si>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</si>
  <si>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</si>
  <si>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</si>
  <si>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</si>
  <si>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</si>
  <si>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</si>
  <si>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</si>
  <si>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</si>
  <si>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</si>
  <si>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</si>
  <si>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</si>
  <si>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</si>
  <si>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</si>
  <si>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</si>
  <si>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</si>
  <si>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</si>
  <si>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</si>
  <si>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</si>
  <si>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</si>
  <si>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</si>
  <si>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</si>
  <si>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</si>
  <si>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</si>
  <si>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</si>
  <si>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</si>
  <si>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</si>
  <si>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</si>
  <si>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</si>
  <si>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</si>
  <si>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</si>
  <si>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</si>
  <si>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</si>
  <si>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</si>
  <si>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</si>
  <si>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</si>
  <si>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</si>
  <si>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</si>
  <si>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</si>
  <si>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</si>
  <si>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</si>
  <si>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</si>
  <si>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</si>
  <si>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</si>
  <si>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</si>
  <si>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</si>
  <si>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</si>
  <si>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</si>
  <si>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</si>
  <si>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</si>
  <si>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</si>
  <si>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</si>
  <si>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</si>
  <si>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</si>
  <si>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</si>
  <si>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</si>
  <si>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</si>
  <si>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</si>
  <si>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</si>
  <si>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</si>
  <si>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</si>
  <si>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</si>
  <si>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</si>
  <si>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</si>
  <si>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</si>
  <si>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</si>
  <si>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</si>
  <si>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</si>
  <si>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</si>
  <si>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</si>
  <si>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</si>
  <si>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</si>
  <si>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</si>
  <si>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</si>
  <si>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</si>
  <si>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</si>
  <si>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</si>
  <si>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</si>
  <si>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</si>
  <si>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</si>
  <si>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</si>
  <si>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</si>
  <si>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</si>
  <si>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</si>
  <si>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</si>
  <si>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</si>
  <si>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</si>
  <si>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</si>
  <si>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</si>
  <si>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</si>
  <si>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</si>
  <si>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</si>
  <si>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</si>
  <si>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</si>
  <si>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</si>
  <si>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</si>
  <si>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</si>
  <si>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</si>
  <si>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</si>
  <si>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</si>
  <si>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</si>
  <si>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</si>
  <si>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</si>
  <si>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</si>
  <si>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</si>
  <si>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</si>
  <si>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</si>
  <si>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</si>
  <si>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</si>
  <si>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</si>
  <si>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</si>
  <si>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</si>
  <si>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</si>
  <si>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</si>
  <si>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</si>
  <si>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</si>
  <si>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</si>
  <si>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</si>
  <si>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</si>
  <si>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</si>
  <si>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</si>
  <si>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</si>
  <si>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</si>
  <si>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</si>
  <si>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</si>
  <si>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</si>
  <si>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</si>
  <si>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</si>
  <si>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</si>
  <si>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</si>
  <si>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</si>
  <si>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</si>
  <si>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</si>
  <si>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</si>
  <si>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</si>
  <si>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</si>
  <si>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</si>
  <si>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</si>
  <si>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</si>
  <si>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</si>
  <si>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</si>
  <si>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</si>
  <si>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</si>
  <si>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</si>
  <si>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</si>
  <si>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</si>
  <si>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</si>
  <si>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</si>
  <si>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</si>
  <si>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</si>
  <si>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</si>
  <si>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</si>
  <si>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</si>
  <si>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</si>
  <si>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</si>
  <si>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</si>
  <si>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</si>
  <si>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</si>
  <si>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</si>
  <si>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</si>
  <si>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</si>
  <si>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</si>
  <si>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</si>
  <si>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</si>
  <si>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</si>
  <si>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</si>
  <si>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</si>
  <si>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</si>
  <si>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</si>
  <si>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</si>
  <si>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</si>
  <si>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</si>
  <si>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</si>
  <si>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</si>
  <si>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</si>
  <si>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</si>
  <si>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</si>
  <si>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</si>
  <si>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</si>
  <si>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</si>
  <si>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</si>
  <si>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</si>
  <si>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</si>
  <si>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</si>
  <si>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</si>
  <si>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</si>
  <si>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</si>
  <si>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</si>
  <si>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</si>
  <si>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</si>
  <si>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</si>
  <si>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</si>
  <si>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</si>
  <si>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</si>
  <si>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</si>
  <si>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</si>
  <si>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</si>
  <si>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</si>
  <si>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</si>
  <si>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</si>
  <si>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</si>
  <si>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</si>
  <si>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</si>
  <si>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</si>
  <si>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</si>
  <si>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</si>
  <si>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</si>
  <si>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</si>
  <si>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</si>
  <si>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</si>
  <si>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</si>
  <si>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</si>
  <si>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</si>
  <si>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</si>
  <si>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</si>
  <si>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</si>
  <si>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</si>
  <si>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</si>
  <si>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</si>
  <si>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</si>
  <si>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</si>
  <si>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</si>
  <si>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</si>
  <si>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</si>
  <si>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</si>
  <si>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</si>
  <si>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</si>
  <si>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</si>
  <si>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</si>
  <si>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</si>
  <si>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</si>
  <si>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</si>
  <si>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</si>
  <si>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</si>
  <si>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</si>
  <si>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</si>
  <si>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</si>
  <si>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</si>
  <si>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</si>
  <si>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</si>
  <si>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</si>
  <si>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</si>
  <si>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</si>
  <si>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</si>
  <si>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</si>
  <si>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</si>
  <si>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</si>
  <si>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</si>
  <si>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</si>
  <si>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</si>
  <si>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</si>
  <si>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</si>
  <si>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</si>
  <si>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</si>
  <si>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</si>
  <si>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</si>
  <si>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</si>
  <si>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</si>
  <si>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</si>
  <si>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</si>
  <si>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</si>
  <si>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</si>
  <si>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</si>
  <si>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</si>
  <si>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</si>
  <si>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</si>
  <si>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</si>
  <si>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</si>
  <si>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</si>
  <si>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</si>
  <si>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</si>
  <si>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</si>
  <si>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</si>
  <si>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</si>
  <si>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</si>
  <si>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</si>
  <si>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</si>
  <si>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</si>
  <si>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</si>
  <si>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</si>
  <si>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</si>
  <si>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</si>
  <si>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</si>
  <si>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</si>
  <si>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</si>
  <si>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</si>
  <si>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</si>
  <si>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</si>
  <si>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</si>
  <si>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</si>
  <si>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</si>
  <si>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</si>
  <si>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</si>
  <si>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</si>
  <si>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</si>
  <si>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</si>
  <si>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</si>
  <si>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</si>
  <si>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</si>
  <si>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</si>
  <si>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</si>
  <si>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</si>
  <si>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</si>
  <si>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</si>
  <si>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</si>
  <si>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</si>
  <si>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</si>
  <si>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</si>
  <si>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</si>
  <si>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</si>
  <si>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</si>
  <si>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</si>
  <si>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</si>
  <si>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</si>
  <si>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</si>
  <si>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</si>
  <si>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</si>
  <si>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</si>
  <si>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</si>
  <si>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</si>
  <si>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</si>
  <si>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</si>
  <si>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</si>
  <si>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</si>
  <si>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</si>
  <si>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</si>
  <si>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</si>
  <si>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</si>
  <si>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</si>
  <si>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</si>
  <si>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</si>
  <si>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</si>
  <si>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</si>
  <si>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</si>
  <si>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</si>
  <si>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</si>
  <si>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</si>
  <si>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</si>
  <si>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</si>
  <si>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</si>
  <si>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</si>
  <si>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</si>
  <si>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</si>
  <si>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</si>
  <si>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</si>
  <si>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</si>
  <si>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</si>
  <si>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</si>
  <si>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</si>
  <si>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</si>
  <si>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</si>
  <si>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</si>
  <si>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</si>
  <si>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</si>
  <si>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</si>
  <si>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</si>
  <si>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</si>
  <si>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</si>
  <si>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</si>
  <si>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</si>
  <si>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</si>
  <si>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</si>
  <si>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</si>
  <si>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</si>
  <si>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</si>
  <si>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</si>
  <si>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</si>
  <si>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</si>
  <si>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</si>
  <si>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</si>
  <si>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</si>
  <si>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</si>
  <si>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</si>
  <si>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</si>
  <si>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</si>
  <si>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</si>
  <si>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</si>
  <si>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</si>
  <si>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</si>
  <si>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</si>
  <si>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</si>
  <si>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</si>
  <si>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</si>
  <si>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</si>
  <si>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</si>
  <si>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</si>
  <si>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</si>
  <si>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</si>
  <si>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</si>
  <si>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</si>
  <si>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</si>
  <si>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</si>
  <si>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</si>
  <si>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</si>
  <si>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</si>
  <si>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</si>
  <si>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</si>
  <si>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</si>
  <si>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</si>
  <si>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</si>
  <si>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</si>
  <si>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</si>
  <si>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</si>
  <si>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</si>
  <si>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</si>
  <si>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</si>
  <si>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</si>
  <si>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</si>
  <si>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</si>
  <si>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</si>
  <si>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</si>
  <si>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</si>
  <si>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</si>
  <si>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</si>
  <si>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</si>
  <si>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</si>
  <si>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</si>
  <si>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</si>
  <si>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</si>
  <si>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</si>
  <si>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</si>
  <si>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</si>
  <si>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</si>
  <si>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</si>
  <si>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</si>
  <si>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</si>
  <si>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</si>
  <si>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</si>
  <si>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</si>
  <si>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</si>
  <si>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</si>
  <si>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</si>
  <si>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</si>
  <si>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</si>
  <si>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</si>
  <si>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</si>
  <si>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</si>
  <si>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</si>
  <si>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</si>
  <si>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</si>
  <si>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</si>
  <si>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</si>
  <si>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</si>
  <si>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</si>
  <si>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</si>
  <si>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</si>
  <si>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</si>
  <si>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</si>
  <si>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</si>
  <si>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</si>
  <si>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</si>
  <si>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</si>
  <si>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</si>
  <si>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</si>
  <si>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</si>
  <si>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</si>
  <si>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</si>
  <si>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</si>
  <si>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</si>
  <si>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</si>
  <si>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</si>
  <si>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</si>
  <si>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</si>
  <si>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</si>
  <si>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</si>
  <si>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</si>
  <si>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</si>
  <si>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</si>
  <si>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</si>
  <si>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</si>
  <si>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</si>
  <si>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</si>
  <si>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</si>
  <si>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</si>
  <si>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</si>
  <si>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</si>
  <si>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</si>
  <si>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</si>
  <si>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</si>
  <si>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</si>
  <si>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</si>
  <si>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</si>
  <si>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</si>
  <si>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</si>
  <si>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</si>
  <si>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</si>
  <si>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</si>
  <si>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</si>
  <si>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</si>
  <si>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</si>
  <si>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</si>
  <si>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</si>
  <si>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</si>
  <si>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</si>
  <si>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</si>
  <si>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</si>
  <si>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</si>
  <si>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</si>
  <si>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</si>
  <si>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</si>
  <si>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</si>
  <si>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</si>
  <si>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</si>
  <si>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</si>
  <si>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</si>
  <si>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</si>
  <si>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</si>
  <si>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</si>
  <si>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</si>
  <si>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</si>
  <si>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</si>
  <si>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</si>
  <si>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</si>
  <si>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</si>
  <si>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</si>
  <si>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</si>
  <si>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</si>
  <si>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</si>
  <si>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</si>
  <si>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</si>
  <si>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</si>
  <si>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</si>
  <si>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</si>
  <si>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</si>
  <si>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</si>
  <si>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</si>
  <si>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</si>
  <si>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</si>
  <si>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</si>
  <si>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</si>
  <si>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</si>
  <si>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</si>
  <si>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</si>
  <si>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</si>
  <si>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</si>
  <si>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</si>
  <si>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</si>
  <si>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</si>
  <si>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</si>
  <si>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</si>
  <si>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</si>
  <si>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</si>
  <si>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</si>
  <si>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</si>
  <si>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</si>
  <si>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</si>
  <si>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</si>
  <si>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</si>
  <si>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</si>
  <si>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</si>
  <si>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</si>
  <si>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</si>
  <si>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</si>
  <si>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</si>
  <si>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</si>
  <si>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</si>
  <si>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</si>
  <si>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</si>
  <si>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</si>
  <si>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</si>
  <si>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</si>
  <si>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</si>
  <si>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</si>
  <si>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</si>
  <si>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</si>
  <si>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</si>
  <si>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</si>
  <si>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</si>
  <si>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</si>
  <si>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</si>
  <si>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</si>
  <si>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</si>
  <si>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</si>
  <si>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</si>
  <si>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</si>
  <si>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</si>
  <si>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</si>
  <si>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</si>
  <si>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</si>
  <si>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</si>
  <si>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</si>
  <si>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</si>
  <si>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</si>
  <si>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</si>
  <si>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</si>
  <si>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</si>
  <si>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</si>
  <si>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</si>
  <si>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</si>
  <si>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</si>
  <si>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</si>
  <si>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</si>
  <si>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</si>
  <si>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</si>
  <si>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</si>
  <si>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</si>
  <si>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</si>
  <si>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</si>
  <si>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PSS_0</t>
  </si>
  <si>
    <t>PSS_1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</si>
  <si>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</si>
  <si>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</si>
  <si>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</si>
  <si>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</si>
  <si>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</si>
  <si>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</si>
  <si>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</si>
  <si>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</si>
  <si>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</si>
  <si>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</si>
  <si>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</si>
  <si>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</si>
  <si>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</si>
  <si>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</si>
  <si>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</si>
  <si>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</si>
  <si>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</si>
  <si>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</si>
  <si>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</si>
  <si>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</si>
  <si>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</si>
  <si>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</si>
  <si>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</si>
  <si>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</si>
  <si>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</si>
  <si>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</si>
  <si>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</si>
  <si>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</si>
  <si>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</si>
  <si>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</si>
  <si>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</si>
  <si>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</si>
  <si>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</si>
  <si>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</si>
  <si>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</si>
  <si>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</si>
  <si>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</si>
  <si>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</si>
  <si>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</si>
  <si>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</si>
  <si>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</si>
  <si>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</si>
  <si>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</si>
  <si>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</si>
  <si>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</si>
  <si>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</si>
  <si>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</si>
  <si>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</si>
  <si>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</si>
  <si>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</si>
  <si>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</si>
  <si>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</si>
  <si>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</si>
  <si>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</si>
  <si>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</si>
  <si>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</si>
  <si>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</si>
  <si>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</si>
  <si>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</si>
  <si>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</si>
  <si>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</si>
  <si>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</si>
  <si>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</si>
  <si>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</si>
  <si>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</si>
  <si>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</si>
  <si>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</si>
  <si>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</si>
  <si>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</si>
  <si>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</si>
  <si>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</si>
  <si>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</si>
  <si>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</si>
  <si>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</si>
  <si>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</si>
  <si>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</si>
  <si>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</si>
  <si>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</si>
  <si>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</si>
  <si>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</si>
  <si>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TGOV1_0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</si>
  <si>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</si>
  <si>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</si>
  <si>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</si>
  <si>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</si>
  <si>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</si>
  <si>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</si>
  <si>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</si>
  <si>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</si>
  <si>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</si>
  <si>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</si>
  <si>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</si>
  <si>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</si>
  <si>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</si>
  <si>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</si>
  <si>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</si>
  <si>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REGCA1_0</t>
  </si>
  <si>
    <t>REGCA1_1</t>
  </si>
  <si>
    <t>REGCA1_2</t>
  </si>
  <si>
    <t>REGCA1_3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</si>
  <si>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</si>
  <si>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</si>
  <si>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</si>
  <si>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</si>
  <si>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</si>
  <si>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</si>
  <si>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</si>
  <si>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</si>
  <si>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</si>
  <si>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</si>
  <si>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</si>
  <si>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</si>
  <si>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</si>
  <si>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</si>
  <si>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</si>
  <si>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</si>
  <si>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</si>
  <si>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</si>
  <si>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</si>
  <si>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</si>
  <si>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</si>
  <si>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</si>
  <si>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</si>
  <si>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</si>
  <si>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</si>
  <si>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</si>
  <si>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</si>
  <si>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</si>
  <si>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</si>
  <si>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</si>
  <si>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</si>
  <si>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</si>
  <si>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</si>
  <si>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</si>
  <si>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</si>
  <si>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</si>
  <si>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</si>
  <si>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</si>
  <si>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</si>
  <si>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</si>
  <si>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</si>
  <si>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</si>
  <si>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</si>
  <si>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</si>
  <si>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</si>
  <si>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</si>
  <si>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</si>
  <si>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</si>
  <si>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</si>
  <si>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</si>
  <si>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</si>
  <si>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</si>
  <si>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</si>
  <si>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</si>
  <si>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</si>
  <si>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</si>
  <si>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</si>
  <si>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</si>
  <si>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</si>
  <si>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</si>
  <si>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</si>
  <si>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</si>
  <si>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</si>
  <si>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</si>
  <si>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</si>
  <si>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</si>
  <si>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</si>
  <si>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</si>
  <si>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</si>
  <si>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</si>
  <si>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</si>
  <si>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</si>
  <si>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</si>
  <si>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</si>
  <si>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</si>
  <si>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</si>
  <si>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</si>
  <si>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REGCA1_43</t>
  </si>
  <si>
    <t>REGCA1_44</t>
  </si>
  <si>
    <t>REGCA1_52</t>
  </si>
  <si>
    <t>REGCA1_53</t>
  </si>
  <si>
    <t>REGCA1_54</t>
  </si>
  <si>
    <t>REGCA1_55</t>
  </si>
  <si>
    <t>REGCA1_56</t>
  </si>
  <si>
    <t>REGCA1_57</t>
  </si>
  <si>
    <t>RLL-TB380-A</t>
  </si>
  <si>
    <t>RLL-TB380-B</t>
  </si>
  <si>
    <t>GT-HLS380-W</t>
  </si>
  <si>
    <t>GT-HLS380-Z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</si>
</sst>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15" borderId="1" xfId="0" applyFont="1" applyFill="1" applyBorder="1"/>
    <xf numFmtId="0" fontId="0" fillId="16" borderId="0" xfId="0" applyFill="1"/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13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3">
        <v>35</v>
      </c>
      <c r="C37">
        <v>1</v>
      </c>
      <c r="D37" s="33" t="s">
        <v>101</v>
      </c>
      <c r="E37">
        <v>380</v>
      </c>
      <c r="F37">
        <v>1.05</v>
      </c>
      <c r="G37">
        <v>0.95</v>
      </c>
      <c r="J37" s="33">
        <v>4.0211829999999997</v>
      </c>
      <c r="K37" s="33">
        <v>51.957417</v>
      </c>
    </row>
    <row r="38" spans="1:11" x14ac:dyDescent="0.25">
      <c r="A38" s="1">
        <v>36</v>
      </c>
      <c r="B38" s="33">
        <v>36</v>
      </c>
      <c r="C38">
        <v>1</v>
      </c>
      <c r="D38" s="33" t="s">
        <v>102</v>
      </c>
      <c r="E38">
        <v>380</v>
      </c>
      <c r="F38">
        <v>1.05</v>
      </c>
      <c r="G38">
        <v>0.95</v>
      </c>
      <c r="J38" s="33">
        <v>6.8671119999999997</v>
      </c>
      <c r="K38" s="33">
        <v>53.435696999999998</v>
      </c>
    </row>
    <row r="39" spans="1:11" x14ac:dyDescent="0.25">
      <c r="A39" s="1">
        <v>37</v>
      </c>
      <c r="B39" s="33">
        <v>37</v>
      </c>
      <c r="C39">
        <v>1</v>
      </c>
      <c r="D39" s="33" t="s">
        <v>103</v>
      </c>
      <c r="E39">
        <v>380</v>
      </c>
      <c r="F39">
        <v>1.05</v>
      </c>
      <c r="G39">
        <v>0.95</v>
      </c>
      <c r="J39" s="33">
        <v>6.8665229999999999</v>
      </c>
      <c r="K39" s="33">
        <v>53.434562</v>
      </c>
    </row>
    <row r="40" spans="1:11" x14ac:dyDescent="0.25">
      <c r="A40" s="1">
        <v>38</v>
      </c>
      <c r="B40" s="33">
        <v>38</v>
      </c>
      <c r="C40">
        <v>1</v>
      </c>
      <c r="D40" s="33" t="s">
        <v>104</v>
      </c>
      <c r="E40">
        <v>380</v>
      </c>
      <c r="F40">
        <v>1.05</v>
      </c>
      <c r="G40">
        <v>0.95</v>
      </c>
      <c r="J40" s="33">
        <v>7.1894859999999996</v>
      </c>
      <c r="K40" s="33">
        <v>53.150091000000003</v>
      </c>
    </row>
    <row r="41" spans="1:11" x14ac:dyDescent="0.25">
      <c r="A41" s="1">
        <v>39</v>
      </c>
      <c r="B41" s="33">
        <v>39</v>
      </c>
      <c r="C41">
        <v>1</v>
      </c>
      <c r="D41" s="33" t="s">
        <v>105</v>
      </c>
      <c r="E41">
        <v>380</v>
      </c>
      <c r="F41">
        <v>1.05</v>
      </c>
      <c r="G41">
        <v>0.95</v>
      </c>
      <c r="J41" s="33">
        <v>6.9627559999999997</v>
      </c>
      <c r="K41" s="33">
        <v>52.194516999999998</v>
      </c>
    </row>
    <row r="42" spans="1:11" x14ac:dyDescent="0.25">
      <c r="A42" s="1">
        <v>40</v>
      </c>
      <c r="B42" s="33">
        <v>40</v>
      </c>
      <c r="C42">
        <v>1</v>
      </c>
      <c r="D42" s="33" t="s">
        <v>106</v>
      </c>
      <c r="E42">
        <v>380</v>
      </c>
      <c r="F42">
        <v>1.05</v>
      </c>
      <c r="G42">
        <v>0.95</v>
      </c>
      <c r="J42" s="33">
        <v>6.4496079999999996</v>
      </c>
      <c r="K42" s="33">
        <v>51.865383999999999</v>
      </c>
    </row>
    <row r="43" spans="1:11" x14ac:dyDescent="0.25">
      <c r="A43" s="1">
        <v>41</v>
      </c>
      <c r="B43" s="33">
        <v>41</v>
      </c>
      <c r="C43">
        <v>1</v>
      </c>
      <c r="D43" s="33" t="s">
        <v>107</v>
      </c>
      <c r="E43">
        <v>380</v>
      </c>
      <c r="F43">
        <v>1.05</v>
      </c>
      <c r="G43">
        <v>0.95</v>
      </c>
      <c r="J43" s="33">
        <v>6.0398350000000001</v>
      </c>
      <c r="K43" s="33">
        <v>51.098849000000001</v>
      </c>
    </row>
    <row r="44" spans="1:11" x14ac:dyDescent="0.25">
      <c r="A44" s="1">
        <v>42</v>
      </c>
      <c r="B44" s="33">
        <v>42</v>
      </c>
      <c r="C44">
        <v>1</v>
      </c>
      <c r="D44" s="33" t="s">
        <v>108</v>
      </c>
      <c r="E44">
        <v>380</v>
      </c>
      <c r="F44">
        <v>1.05</v>
      </c>
      <c r="G44">
        <v>0.95</v>
      </c>
      <c r="J44" s="33">
        <v>6.0396979999999996</v>
      </c>
      <c r="K44" s="33">
        <v>51.098717000000001</v>
      </c>
    </row>
    <row r="45" spans="1:11" x14ac:dyDescent="0.25">
      <c r="A45" s="1">
        <v>43</v>
      </c>
      <c r="B45" s="33">
        <v>43</v>
      </c>
      <c r="C45">
        <v>1</v>
      </c>
      <c r="D45" s="33" t="s">
        <v>109</v>
      </c>
      <c r="E45">
        <v>380</v>
      </c>
      <c r="F45">
        <v>1.05</v>
      </c>
      <c r="G45">
        <v>0.95</v>
      </c>
      <c r="J45" s="33">
        <v>5.814349</v>
      </c>
      <c r="K45" s="33">
        <v>51.120961000000001</v>
      </c>
    </row>
    <row r="46" spans="1:11" x14ac:dyDescent="0.25">
      <c r="A46" s="1">
        <v>44</v>
      </c>
      <c r="B46" s="33">
        <v>44</v>
      </c>
      <c r="C46">
        <v>1</v>
      </c>
      <c r="D46" s="33" t="s">
        <v>110</v>
      </c>
      <c r="E46">
        <v>380</v>
      </c>
      <c r="F46">
        <v>1.05</v>
      </c>
      <c r="G46">
        <v>0.95</v>
      </c>
      <c r="J46" s="33">
        <v>4.2481210000000003</v>
      </c>
      <c r="K46" s="33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14" zoomScale="103" workbookViewId="0">
      <selection activeCell="L23" sqref="L23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3">
        <v>38</v>
      </c>
      <c r="F37">
        <v>380</v>
      </c>
      <c r="G37" s="34">
        <v>0.29962879999999997</v>
      </c>
      <c r="H37" s="31">
        <v>9.8483224013816553E-2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3">
        <v>39</v>
      </c>
      <c r="F38">
        <v>380</v>
      </c>
      <c r="G38" s="34">
        <v>0.29962879999999997</v>
      </c>
      <c r="H38" s="31">
        <v>9.8483224013816553E-2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3">
        <v>41</v>
      </c>
      <c r="F39">
        <v>380</v>
      </c>
      <c r="G39" s="34">
        <v>0.29962879999999997</v>
      </c>
      <c r="H39" s="31">
        <v>9.8483224013816553E-2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3">
        <v>42</v>
      </c>
      <c r="F40">
        <v>380</v>
      </c>
      <c r="G40" s="34">
        <v>0.29962879999999997</v>
      </c>
      <c r="H40" s="31">
        <v>9.8483224013816553E-2</v>
      </c>
    </row>
    <row r="41" spans="1:8" x14ac:dyDescent="0.25">
      <c r="A41" s="14">
        <v>39</v>
      </c>
      <c r="B41">
        <v>39</v>
      </c>
      <c r="C41">
        <v>1</v>
      </c>
      <c r="D41" t="s">
        <v>691</v>
      </c>
      <c r="E41" s="33">
        <v>43</v>
      </c>
      <c r="F41">
        <v>380</v>
      </c>
      <c r="G41" s="34">
        <v>0.26103399999999999</v>
      </c>
      <c r="H41" s="31">
        <v>8.5797726711259376E-2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3">
        <v>44</v>
      </c>
      <c r="F42">
        <v>380</v>
      </c>
      <c r="G42" s="34">
        <v>0.211034</v>
      </c>
      <c r="H42" s="31">
        <v>6.9363521452316224E-2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3">
        <v>35</v>
      </c>
      <c r="F43">
        <v>380</v>
      </c>
      <c r="G43" s="31">
        <v>0.05</v>
      </c>
      <c r="H43" s="31">
        <v>1.6434205258943162E-2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3">
        <v>36</v>
      </c>
      <c r="F44">
        <v>380</v>
      </c>
      <c r="G44" s="34">
        <v>0.10199</v>
      </c>
      <c r="H44" s="31">
        <v>3.3522491887192259E-2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3">
        <v>37</v>
      </c>
      <c r="F45">
        <v>380</v>
      </c>
      <c r="G45" s="31">
        <v>0.05</v>
      </c>
      <c r="H45" s="31">
        <v>1.6434205258943162E-2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3">
        <v>40</v>
      </c>
      <c r="F46">
        <v>380</v>
      </c>
      <c r="G46" s="34">
        <v>0.29962879999999997</v>
      </c>
      <c r="H46" s="31">
        <v>9.8483224013816553E-2</v>
      </c>
    </row>
    <row r="47" spans="1:8" x14ac:dyDescent="0.25">
      <c r="A47" s="2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1"/>
  <sheetViews>
    <sheetView zoomScale="99" workbookViewId="0">
      <pane ySplit="1" topLeftCell="A2" activePane="bottomLeft" state="frozen"/>
      <selection pane="bottomLeft" activeCell="I2" sqref="I2"/>
    </sheetView>
  </sheetViews>
  <sheetFormatPr defaultColWidth="8.85546875" defaultRowHeight="15" x14ac:dyDescent="0.25"/>
  <cols>
    <col min="4" max="4" width="43.5703125" bestFit="1" customWidth="1"/>
    <col min="20" max="20" width="25.57031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1972</v>
      </c>
      <c r="F2">
        <v>380</v>
      </c>
      <c r="G2">
        <v>38</v>
      </c>
      <c r="I2" s="31">
        <f>0.1/2</f>
        <v>0.05</v>
      </c>
      <c r="J2">
        <v>0</v>
      </c>
      <c r="K2">
        <f>E2/2000</f>
        <v>0.98599999999999999</v>
      </c>
      <c r="L2">
        <f>-K2</f>
        <v>-0.98599999999999999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1972</v>
      </c>
      <c r="F3">
        <v>380</v>
      </c>
      <c r="G3">
        <v>39</v>
      </c>
      <c r="I3" s="31">
        <f t="shared" ref="I3:I7" si="0">0.1/2</f>
        <v>0.05</v>
      </c>
      <c r="J3">
        <v>0</v>
      </c>
      <c r="K3">
        <f t="shared" ref="K3:K66" si="1">E3/2000</f>
        <v>0.98599999999999999</v>
      </c>
      <c r="L3">
        <f t="shared" ref="L3:L10" si="2">-K3</f>
        <v>-0.98599999999999999</v>
      </c>
      <c r="M3">
        <f t="shared" ref="M3:M10" si="3">5/2</f>
        <v>2.5</v>
      </c>
      <c r="N3">
        <f t="shared" ref="N3:N10" si="4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986</v>
      </c>
      <c r="F4">
        <v>380</v>
      </c>
      <c r="G4">
        <v>41</v>
      </c>
      <c r="I4" s="31">
        <f t="shared" si="0"/>
        <v>0.05</v>
      </c>
      <c r="J4">
        <v>0</v>
      </c>
      <c r="K4">
        <f t="shared" si="1"/>
        <v>0.49299999999999999</v>
      </c>
      <c r="L4">
        <f t="shared" si="2"/>
        <v>-0.49299999999999999</v>
      </c>
      <c r="M4">
        <f t="shared" si="3"/>
        <v>2.5</v>
      </c>
      <c r="N4">
        <f t="shared" si="4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986</v>
      </c>
      <c r="F5">
        <v>380</v>
      </c>
      <c r="G5">
        <v>42</v>
      </c>
      <c r="I5" s="31">
        <f t="shared" si="0"/>
        <v>0.05</v>
      </c>
      <c r="J5">
        <v>0</v>
      </c>
      <c r="K5">
        <f t="shared" si="1"/>
        <v>0.49299999999999999</v>
      </c>
      <c r="L5">
        <f t="shared" si="2"/>
        <v>-0.49299999999999999</v>
      </c>
      <c r="M5">
        <f t="shared" si="3"/>
        <v>2.5</v>
      </c>
      <c r="N5">
        <f t="shared" si="4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1128</v>
      </c>
      <c r="F6">
        <v>380</v>
      </c>
      <c r="G6">
        <v>43</v>
      </c>
      <c r="I6" s="31">
        <f t="shared" si="0"/>
        <v>0.05</v>
      </c>
      <c r="J6">
        <v>0</v>
      </c>
      <c r="K6">
        <f t="shared" si="1"/>
        <v>0.56399999999999995</v>
      </c>
      <c r="L6">
        <f t="shared" si="2"/>
        <v>-0.56399999999999995</v>
      </c>
      <c r="M6">
        <f t="shared" si="3"/>
        <v>2.5</v>
      </c>
      <c r="N6">
        <f t="shared" si="4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1128</v>
      </c>
      <c r="F7">
        <v>380</v>
      </c>
      <c r="G7">
        <v>44</v>
      </c>
      <c r="I7" s="31">
        <f t="shared" si="0"/>
        <v>0.05</v>
      </c>
      <c r="J7">
        <v>0</v>
      </c>
      <c r="K7">
        <f t="shared" si="1"/>
        <v>0.56399999999999995</v>
      </c>
      <c r="L7">
        <f t="shared" si="2"/>
        <v>-0.56399999999999995</v>
      </c>
      <c r="M7">
        <f t="shared" si="3"/>
        <v>2.5</v>
      </c>
      <c r="N7">
        <f t="shared" si="4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1000</v>
      </c>
      <c r="F8">
        <v>380</v>
      </c>
      <c r="G8">
        <v>35</v>
      </c>
      <c r="I8" s="34">
        <f>0.100864/2</f>
        <v>5.0431999999999998E-2</v>
      </c>
      <c r="J8">
        <v>0</v>
      </c>
      <c r="K8">
        <f t="shared" si="1"/>
        <v>0.5</v>
      </c>
      <c r="L8">
        <f t="shared" si="2"/>
        <v>-0.5</v>
      </c>
      <c r="M8">
        <f t="shared" si="3"/>
        <v>2.5</v>
      </c>
      <c r="N8">
        <f t="shared" si="4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700</v>
      </c>
      <c r="F9">
        <v>380</v>
      </c>
      <c r="G9">
        <v>36</v>
      </c>
      <c r="I9" s="31">
        <f>0.1/2</f>
        <v>0.05</v>
      </c>
      <c r="J9">
        <v>0</v>
      </c>
      <c r="K9">
        <f t="shared" si="1"/>
        <v>0.35</v>
      </c>
      <c r="L9">
        <f t="shared" si="2"/>
        <v>-0.35</v>
      </c>
      <c r="M9">
        <f t="shared" si="3"/>
        <v>2.5</v>
      </c>
      <c r="N9">
        <f t="shared" si="4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700</v>
      </c>
      <c r="F10" s="10">
        <v>380</v>
      </c>
      <c r="G10" s="10">
        <v>37</v>
      </c>
      <c r="H10" s="10"/>
      <c r="I10" s="34">
        <f>0.49222/2</f>
        <v>0.24611</v>
      </c>
      <c r="J10" s="10">
        <v>0</v>
      </c>
      <c r="K10">
        <f t="shared" si="1"/>
        <v>0.35</v>
      </c>
      <c r="L10" s="10">
        <f t="shared" si="2"/>
        <v>-0.35</v>
      </c>
      <c r="M10">
        <f t="shared" si="3"/>
        <v>2.5</v>
      </c>
      <c r="N10">
        <f t="shared" si="4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1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5">0.6*E12/2000</f>
        <v>3.7499999999999999E-2</v>
      </c>
      <c r="J12">
        <v>0</v>
      </c>
      <c r="K12">
        <f t="shared" si="1"/>
        <v>6.25E-2</v>
      </c>
      <c r="L12">
        <v>0</v>
      </c>
      <c r="M12">
        <f t="shared" ref="M12:M75" si="6">0.33*E12/2000</f>
        <v>2.0625000000000001E-2</v>
      </c>
      <c r="N12">
        <f t="shared" ref="N12:N13" si="7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5"/>
        <v>2.1000000000000003E-3</v>
      </c>
      <c r="J13">
        <v>0</v>
      </c>
      <c r="K13">
        <f t="shared" si="1"/>
        <v>3.5000000000000001E-3</v>
      </c>
      <c r="L13">
        <v>0</v>
      </c>
      <c r="M13">
        <f t="shared" si="6"/>
        <v>1.155E-3</v>
      </c>
      <c r="N13">
        <f t="shared" si="7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5"/>
        <v>1.14E-2</v>
      </c>
      <c r="J14">
        <v>0</v>
      </c>
      <c r="K14">
        <f t="shared" si="1"/>
        <v>1.9E-2</v>
      </c>
      <c r="L14">
        <v>0</v>
      </c>
      <c r="M14">
        <f t="shared" si="6"/>
        <v>6.2700000000000004E-3</v>
      </c>
      <c r="N14">
        <f t="shared" ref="N14:N77" si="8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2">
        <f>0.98*E15/2000</f>
        <v>0.23765</v>
      </c>
      <c r="J15">
        <v>0</v>
      </c>
      <c r="K15">
        <f t="shared" si="1"/>
        <v>0.24249999999999999</v>
      </c>
      <c r="L15">
        <v>0</v>
      </c>
      <c r="M15">
        <f t="shared" si="6"/>
        <v>8.0024999999999999E-2</v>
      </c>
      <c r="N15">
        <f t="shared" si="8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1"/>
        <v>2.4E-2</v>
      </c>
      <c r="L16">
        <v>0</v>
      </c>
      <c r="M16">
        <f t="shared" si="6"/>
        <v>7.92E-3</v>
      </c>
      <c r="N16">
        <f t="shared" si="8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9">0.6*E17/2000</f>
        <v>0.13650000000000001</v>
      </c>
      <c r="J17">
        <v>0</v>
      </c>
      <c r="K17">
        <f t="shared" si="1"/>
        <v>0.22750000000000001</v>
      </c>
      <c r="L17">
        <v>0</v>
      </c>
      <c r="M17">
        <f t="shared" si="6"/>
        <v>7.5075000000000003E-2</v>
      </c>
      <c r="N17">
        <f t="shared" si="8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9"/>
        <v>0.25319999999999998</v>
      </c>
      <c r="J18">
        <v>0</v>
      </c>
      <c r="K18">
        <f t="shared" si="1"/>
        <v>0.42199999999999999</v>
      </c>
      <c r="L18">
        <v>0</v>
      </c>
      <c r="M18">
        <f t="shared" si="6"/>
        <v>0.13926000000000002</v>
      </c>
      <c r="N18">
        <f t="shared" si="8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9"/>
        <v>2.1599999999999998E-2</v>
      </c>
      <c r="J19">
        <v>0</v>
      </c>
      <c r="K19">
        <f t="shared" si="1"/>
        <v>3.5999999999999997E-2</v>
      </c>
      <c r="L19">
        <v>0</v>
      </c>
      <c r="M19">
        <f t="shared" si="6"/>
        <v>1.188E-2</v>
      </c>
      <c r="N19">
        <f t="shared" si="8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9"/>
        <v>2.1599999999999998E-2</v>
      </c>
      <c r="J20">
        <v>0</v>
      </c>
      <c r="K20">
        <f t="shared" si="1"/>
        <v>3.5999999999999997E-2</v>
      </c>
      <c r="L20">
        <v>0</v>
      </c>
      <c r="M20">
        <f t="shared" si="6"/>
        <v>1.188E-2</v>
      </c>
      <c r="N20">
        <f t="shared" si="8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9"/>
        <v>3.9299999999999995E-2</v>
      </c>
      <c r="J21">
        <v>0</v>
      </c>
      <c r="K21">
        <f t="shared" si="1"/>
        <v>6.5500000000000003E-2</v>
      </c>
      <c r="L21">
        <v>0</v>
      </c>
      <c r="M21">
        <f t="shared" si="6"/>
        <v>2.1615000000000002E-2</v>
      </c>
      <c r="N21">
        <f t="shared" si="8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9"/>
        <v>0.1077</v>
      </c>
      <c r="J22">
        <v>0</v>
      </c>
      <c r="K22">
        <f t="shared" si="1"/>
        <v>0.17949999999999999</v>
      </c>
      <c r="L22">
        <v>0</v>
      </c>
      <c r="M22">
        <f t="shared" si="6"/>
        <v>5.9234999999999996E-2</v>
      </c>
      <c r="N22">
        <f t="shared" si="8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9"/>
        <v>0.1077</v>
      </c>
      <c r="J23">
        <v>0</v>
      </c>
      <c r="K23">
        <f t="shared" si="1"/>
        <v>0.17949999999999999</v>
      </c>
      <c r="L23">
        <v>0</v>
      </c>
      <c r="M23">
        <f t="shared" si="6"/>
        <v>5.9234999999999996E-2</v>
      </c>
      <c r="N23">
        <f t="shared" si="8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9"/>
        <v>0.10829999999999999</v>
      </c>
      <c r="J24">
        <v>0</v>
      </c>
      <c r="K24">
        <f t="shared" si="1"/>
        <v>0.18049999999999999</v>
      </c>
      <c r="L24">
        <v>0</v>
      </c>
      <c r="M24">
        <f t="shared" si="6"/>
        <v>5.9565000000000007E-2</v>
      </c>
      <c r="N24">
        <f t="shared" si="8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9"/>
        <v>0.1077</v>
      </c>
      <c r="J25">
        <v>0</v>
      </c>
      <c r="K25">
        <f t="shared" si="1"/>
        <v>0.17949999999999999</v>
      </c>
      <c r="L25">
        <v>0</v>
      </c>
      <c r="M25">
        <f t="shared" si="6"/>
        <v>5.9234999999999996E-2</v>
      </c>
      <c r="N25">
        <f t="shared" si="8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9"/>
        <v>0.108</v>
      </c>
      <c r="J26">
        <v>0</v>
      </c>
      <c r="K26">
        <f t="shared" si="1"/>
        <v>0.18</v>
      </c>
      <c r="L26">
        <v>0</v>
      </c>
      <c r="M26">
        <f t="shared" si="6"/>
        <v>5.9400000000000008E-2</v>
      </c>
      <c r="N26">
        <f t="shared" si="8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9"/>
        <v>0.1278</v>
      </c>
      <c r="J27">
        <v>0</v>
      </c>
      <c r="K27">
        <f t="shared" si="1"/>
        <v>0.21299999999999999</v>
      </c>
      <c r="L27">
        <v>0</v>
      </c>
      <c r="M27">
        <f t="shared" si="6"/>
        <v>7.0290000000000005E-2</v>
      </c>
      <c r="N27">
        <f t="shared" si="8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9"/>
        <v>0.1245</v>
      </c>
      <c r="J28">
        <v>0</v>
      </c>
      <c r="K28">
        <f t="shared" si="1"/>
        <v>0.20749999999999999</v>
      </c>
      <c r="L28">
        <v>0</v>
      </c>
      <c r="M28">
        <f t="shared" si="6"/>
        <v>6.8475000000000008E-2</v>
      </c>
      <c r="N28">
        <f t="shared" si="8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9"/>
        <v>2.4899999999999999E-2</v>
      </c>
      <c r="J29">
        <v>0</v>
      </c>
      <c r="K29">
        <f t="shared" si="1"/>
        <v>4.1500000000000002E-2</v>
      </c>
      <c r="L29">
        <v>0</v>
      </c>
      <c r="M29">
        <f t="shared" si="6"/>
        <v>1.3695000000000001E-2</v>
      </c>
      <c r="N29">
        <f t="shared" si="8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9"/>
        <v>3.3600000000000005E-2</v>
      </c>
      <c r="J30">
        <v>0</v>
      </c>
      <c r="K30">
        <f t="shared" si="1"/>
        <v>5.6000000000000001E-2</v>
      </c>
      <c r="L30">
        <v>0</v>
      </c>
      <c r="M30">
        <f t="shared" si="6"/>
        <v>1.848E-2</v>
      </c>
      <c r="N30">
        <f t="shared" si="8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9"/>
        <v>7.1999999999999989E-3</v>
      </c>
      <c r="J31">
        <v>0</v>
      </c>
      <c r="K31">
        <f t="shared" si="1"/>
        <v>1.2E-2</v>
      </c>
      <c r="L31">
        <v>0</v>
      </c>
      <c r="M31">
        <f t="shared" si="6"/>
        <v>3.96E-3</v>
      </c>
      <c r="N31">
        <f t="shared" si="8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9"/>
        <v>7.1999999999999989E-3</v>
      </c>
      <c r="J32">
        <v>0</v>
      </c>
      <c r="K32">
        <f t="shared" si="1"/>
        <v>1.2E-2</v>
      </c>
      <c r="L32">
        <v>0</v>
      </c>
      <c r="M32">
        <f t="shared" si="6"/>
        <v>3.96E-3</v>
      </c>
      <c r="N32">
        <f t="shared" si="8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9"/>
        <v>6.6000000000000003E-2</v>
      </c>
      <c r="J33">
        <v>0</v>
      </c>
      <c r="K33">
        <f t="shared" si="1"/>
        <v>0.11</v>
      </c>
      <c r="L33">
        <v>0</v>
      </c>
      <c r="M33">
        <f t="shared" si="6"/>
        <v>3.6300000000000006E-2</v>
      </c>
      <c r="N33">
        <f t="shared" si="8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9"/>
        <v>2.3699999999999999E-2</v>
      </c>
      <c r="J34">
        <v>0</v>
      </c>
      <c r="K34">
        <f t="shared" si="1"/>
        <v>3.95E-2</v>
      </c>
      <c r="L34">
        <v>0</v>
      </c>
      <c r="M34">
        <f t="shared" si="6"/>
        <v>1.3035E-2</v>
      </c>
      <c r="N34">
        <f t="shared" si="8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9"/>
        <v>0.1305</v>
      </c>
      <c r="J35">
        <v>0</v>
      </c>
      <c r="K35">
        <f t="shared" si="1"/>
        <v>0.2175</v>
      </c>
      <c r="L35">
        <v>0</v>
      </c>
      <c r="M35">
        <f t="shared" si="6"/>
        <v>7.1775000000000005E-2</v>
      </c>
      <c r="N35">
        <f t="shared" si="8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9"/>
        <v>0.1305</v>
      </c>
      <c r="J36">
        <v>0</v>
      </c>
      <c r="K36">
        <f t="shared" si="1"/>
        <v>0.2175</v>
      </c>
      <c r="L36">
        <v>0</v>
      </c>
      <c r="M36">
        <f t="shared" si="6"/>
        <v>7.1775000000000005E-2</v>
      </c>
      <c r="N36">
        <f t="shared" si="8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9"/>
        <v>0.18</v>
      </c>
      <c r="J37">
        <v>0</v>
      </c>
      <c r="K37">
        <f t="shared" si="1"/>
        <v>0.3</v>
      </c>
      <c r="L37">
        <v>0</v>
      </c>
      <c r="M37">
        <f t="shared" si="6"/>
        <v>9.9000000000000005E-2</v>
      </c>
      <c r="N37">
        <f t="shared" si="8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9"/>
        <v>1.7999999999999999E-2</v>
      </c>
      <c r="J38">
        <v>0</v>
      </c>
      <c r="K38">
        <f t="shared" si="1"/>
        <v>0.03</v>
      </c>
      <c r="L38">
        <v>0</v>
      </c>
      <c r="M38">
        <f t="shared" si="6"/>
        <v>9.9000000000000008E-3</v>
      </c>
      <c r="N38">
        <f t="shared" si="8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9"/>
        <v>5.3999999999999999E-2</v>
      </c>
      <c r="J39">
        <v>0</v>
      </c>
      <c r="K39">
        <f t="shared" si="1"/>
        <v>0.09</v>
      </c>
      <c r="L39">
        <v>0</v>
      </c>
      <c r="M39">
        <f t="shared" si="6"/>
        <v>2.9700000000000004E-2</v>
      </c>
      <c r="N39">
        <f t="shared" si="8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9"/>
        <v>0.192</v>
      </c>
      <c r="J40">
        <v>0</v>
      </c>
      <c r="K40">
        <f t="shared" si="1"/>
        <v>0.32</v>
      </c>
      <c r="L40">
        <v>0</v>
      </c>
      <c r="M40">
        <f t="shared" si="6"/>
        <v>0.10560000000000001</v>
      </c>
      <c r="N40">
        <f t="shared" si="8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9"/>
        <v>0.38250000000000001</v>
      </c>
      <c r="J41">
        <v>0</v>
      </c>
      <c r="K41">
        <f t="shared" si="1"/>
        <v>0.63749999999999996</v>
      </c>
      <c r="L41">
        <v>0</v>
      </c>
      <c r="M41">
        <f t="shared" si="6"/>
        <v>0.21037500000000001</v>
      </c>
      <c r="N41">
        <f t="shared" si="8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9"/>
        <v>0.105</v>
      </c>
      <c r="J42">
        <v>0</v>
      </c>
      <c r="K42">
        <f t="shared" si="1"/>
        <v>0.17499999999999999</v>
      </c>
      <c r="L42">
        <v>0</v>
      </c>
      <c r="M42">
        <f t="shared" si="6"/>
        <v>5.7750000000000003E-2</v>
      </c>
      <c r="N42">
        <f t="shared" si="8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9"/>
        <v>1.89E-2</v>
      </c>
      <c r="J43">
        <v>0</v>
      </c>
      <c r="K43">
        <f t="shared" si="1"/>
        <v>3.15E-2</v>
      </c>
      <c r="L43">
        <v>0</v>
      </c>
      <c r="M43">
        <f t="shared" si="6"/>
        <v>1.0395000000000001E-2</v>
      </c>
      <c r="N43">
        <f t="shared" si="8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9"/>
        <v>1.89E-2</v>
      </c>
      <c r="J44">
        <v>0</v>
      </c>
      <c r="K44">
        <f t="shared" si="1"/>
        <v>3.15E-2</v>
      </c>
      <c r="L44">
        <v>0</v>
      </c>
      <c r="M44">
        <f t="shared" si="6"/>
        <v>1.0395000000000001E-2</v>
      </c>
      <c r="N44">
        <f t="shared" si="8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9"/>
        <v>6.9000000000000006E-2</v>
      </c>
      <c r="J45">
        <v>0</v>
      </c>
      <c r="K45">
        <f t="shared" si="1"/>
        <v>0.115</v>
      </c>
      <c r="L45">
        <v>0</v>
      </c>
      <c r="M45">
        <f t="shared" si="6"/>
        <v>3.7950000000000005E-2</v>
      </c>
      <c r="N45">
        <f t="shared" si="8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9"/>
        <v>9.9000000000000008E-3</v>
      </c>
      <c r="J46">
        <v>0</v>
      </c>
      <c r="K46">
        <f t="shared" si="1"/>
        <v>1.6500000000000001E-2</v>
      </c>
      <c r="L46">
        <v>0</v>
      </c>
      <c r="M46">
        <f t="shared" si="6"/>
        <v>5.4450000000000002E-3</v>
      </c>
      <c r="N46">
        <f t="shared" si="8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9"/>
        <v>7.4999999999999997E-3</v>
      </c>
      <c r="J47">
        <v>0</v>
      </c>
      <c r="K47">
        <f t="shared" si="1"/>
        <v>1.2500000000000001E-2</v>
      </c>
      <c r="L47">
        <v>0</v>
      </c>
      <c r="M47">
        <f t="shared" si="6"/>
        <v>4.1250000000000002E-3</v>
      </c>
      <c r="N47">
        <f t="shared" si="8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9"/>
        <v>9.5999999999999992E-3</v>
      </c>
      <c r="J48">
        <v>0</v>
      </c>
      <c r="K48">
        <f t="shared" si="1"/>
        <v>1.6E-2</v>
      </c>
      <c r="L48">
        <v>0</v>
      </c>
      <c r="M48">
        <f t="shared" si="6"/>
        <v>5.28E-3</v>
      </c>
      <c r="N48">
        <f t="shared" si="8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9"/>
        <v>3.8399999999999997E-2</v>
      </c>
      <c r="J49">
        <v>0</v>
      </c>
      <c r="K49">
        <f t="shared" si="1"/>
        <v>6.4000000000000001E-2</v>
      </c>
      <c r="L49">
        <v>0</v>
      </c>
      <c r="M49">
        <f t="shared" si="6"/>
        <v>2.112E-2</v>
      </c>
      <c r="N49">
        <f t="shared" si="8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9"/>
        <v>1.8599999999999998E-2</v>
      </c>
      <c r="J50">
        <v>0</v>
      </c>
      <c r="K50">
        <f t="shared" si="1"/>
        <v>3.1E-2</v>
      </c>
      <c r="L50">
        <v>0</v>
      </c>
      <c r="M50">
        <f t="shared" si="6"/>
        <v>1.0230000000000001E-2</v>
      </c>
      <c r="N50">
        <f t="shared" si="8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9"/>
        <v>1.6500000000000001E-2</v>
      </c>
      <c r="J51">
        <v>0</v>
      </c>
      <c r="K51">
        <f t="shared" si="1"/>
        <v>2.75E-2</v>
      </c>
      <c r="L51">
        <v>0</v>
      </c>
      <c r="M51">
        <f t="shared" si="6"/>
        <v>9.0750000000000015E-3</v>
      </c>
      <c r="N51">
        <f t="shared" si="8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9"/>
        <v>7.4700000000000003E-2</v>
      </c>
      <c r="J52">
        <v>0</v>
      </c>
      <c r="K52">
        <f t="shared" si="1"/>
        <v>0.1245</v>
      </c>
      <c r="L52">
        <v>0</v>
      </c>
      <c r="M52">
        <f t="shared" si="6"/>
        <v>4.1085000000000003E-2</v>
      </c>
      <c r="N52">
        <f t="shared" si="8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9"/>
        <v>4.3199999999999995E-2</v>
      </c>
      <c r="J53">
        <v>0</v>
      </c>
      <c r="K53">
        <f t="shared" si="1"/>
        <v>7.1999999999999995E-2</v>
      </c>
      <c r="L53">
        <v>0</v>
      </c>
      <c r="M53">
        <f t="shared" si="6"/>
        <v>2.376E-2</v>
      </c>
      <c r="N53">
        <f t="shared" si="8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9"/>
        <v>7.4399999999999994E-2</v>
      </c>
      <c r="J54">
        <v>0</v>
      </c>
      <c r="K54">
        <f t="shared" si="1"/>
        <v>0.124</v>
      </c>
      <c r="L54">
        <v>0</v>
      </c>
      <c r="M54">
        <f t="shared" si="6"/>
        <v>4.0920000000000005E-2</v>
      </c>
      <c r="N54">
        <f t="shared" si="8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9"/>
        <v>3.0899999999999997E-2</v>
      </c>
      <c r="J55">
        <v>0</v>
      </c>
      <c r="K55">
        <f t="shared" si="1"/>
        <v>5.1499999999999997E-2</v>
      </c>
      <c r="L55">
        <v>0</v>
      </c>
      <c r="M55">
        <f t="shared" si="6"/>
        <v>1.6995E-2</v>
      </c>
      <c r="N55">
        <f t="shared" si="8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9"/>
        <v>6.7500000000000004E-2</v>
      </c>
      <c r="J56">
        <v>0</v>
      </c>
      <c r="K56">
        <f t="shared" si="1"/>
        <v>0.1125</v>
      </c>
      <c r="L56">
        <v>0</v>
      </c>
      <c r="M56">
        <f t="shared" si="6"/>
        <v>3.7124999999999998E-2</v>
      </c>
      <c r="N56">
        <f t="shared" si="8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9"/>
        <v>2.0099999999999996E-2</v>
      </c>
      <c r="J57">
        <v>0</v>
      </c>
      <c r="K57">
        <f t="shared" si="1"/>
        <v>3.3500000000000002E-2</v>
      </c>
      <c r="L57">
        <v>0</v>
      </c>
      <c r="M57">
        <f t="shared" si="6"/>
        <v>1.1054999999999999E-2</v>
      </c>
      <c r="N57">
        <f t="shared" si="8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9"/>
        <v>0.13800000000000001</v>
      </c>
      <c r="J58">
        <v>0</v>
      </c>
      <c r="K58">
        <f t="shared" si="1"/>
        <v>0.23</v>
      </c>
      <c r="L58">
        <v>0</v>
      </c>
      <c r="M58">
        <f t="shared" si="6"/>
        <v>7.5900000000000009E-2</v>
      </c>
      <c r="N58">
        <f t="shared" si="8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9"/>
        <v>0.114</v>
      </c>
      <c r="J59">
        <v>0</v>
      </c>
      <c r="K59">
        <f t="shared" si="1"/>
        <v>0.19</v>
      </c>
      <c r="L59">
        <v>0</v>
      </c>
      <c r="M59">
        <f t="shared" si="6"/>
        <v>6.2700000000000006E-2</v>
      </c>
      <c r="N59">
        <f t="shared" si="8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9"/>
        <v>0.13200000000000001</v>
      </c>
      <c r="J60">
        <v>0</v>
      </c>
      <c r="K60">
        <f t="shared" si="1"/>
        <v>0.22</v>
      </c>
      <c r="L60">
        <v>0</v>
      </c>
      <c r="M60">
        <f t="shared" si="6"/>
        <v>7.2600000000000012E-2</v>
      </c>
      <c r="N60">
        <f t="shared" si="8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9"/>
        <v>0.1278</v>
      </c>
      <c r="J61">
        <v>0</v>
      </c>
      <c r="K61">
        <f t="shared" si="1"/>
        <v>0.21299999999999999</v>
      </c>
      <c r="L61">
        <v>0</v>
      </c>
      <c r="M61">
        <f t="shared" si="6"/>
        <v>7.0290000000000005E-2</v>
      </c>
      <c r="N61">
        <f t="shared" si="8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9"/>
        <v>0.10529999999999999</v>
      </c>
      <c r="J62">
        <v>0</v>
      </c>
      <c r="K62">
        <f t="shared" si="1"/>
        <v>0.17549999999999999</v>
      </c>
      <c r="L62">
        <v>0</v>
      </c>
      <c r="M62">
        <f t="shared" si="6"/>
        <v>5.7915000000000008E-2</v>
      </c>
      <c r="N62">
        <f t="shared" si="8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9"/>
        <v>0.1245</v>
      </c>
      <c r="J63">
        <v>0</v>
      </c>
      <c r="K63">
        <f t="shared" si="1"/>
        <v>0.20749999999999999</v>
      </c>
      <c r="L63">
        <v>0</v>
      </c>
      <c r="M63">
        <f t="shared" si="6"/>
        <v>6.8475000000000008E-2</v>
      </c>
      <c r="N63">
        <f t="shared" si="8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9"/>
        <v>7.1999999999999989E-3</v>
      </c>
      <c r="J64">
        <v>0</v>
      </c>
      <c r="K64">
        <f t="shared" si="1"/>
        <v>1.2E-2</v>
      </c>
      <c r="L64">
        <v>0</v>
      </c>
      <c r="M64">
        <f t="shared" si="6"/>
        <v>3.96E-3</v>
      </c>
      <c r="N64">
        <f t="shared" si="8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9"/>
        <v>0.13109999999999999</v>
      </c>
      <c r="J65">
        <v>0</v>
      </c>
      <c r="K65">
        <f t="shared" si="1"/>
        <v>0.2185</v>
      </c>
      <c r="L65">
        <v>0</v>
      </c>
      <c r="M65">
        <f t="shared" si="6"/>
        <v>7.2105000000000002E-2</v>
      </c>
      <c r="N65">
        <f t="shared" si="8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9"/>
        <v>0.13109999999999999</v>
      </c>
      <c r="J66">
        <v>0</v>
      </c>
      <c r="K66">
        <f t="shared" si="1"/>
        <v>0.2185</v>
      </c>
      <c r="L66">
        <v>0</v>
      </c>
      <c r="M66">
        <f t="shared" si="6"/>
        <v>7.2105000000000002E-2</v>
      </c>
      <c r="N66">
        <f t="shared" si="8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9"/>
        <v>0.13109999999999999</v>
      </c>
      <c r="J67">
        <v>0</v>
      </c>
      <c r="K67">
        <f t="shared" ref="K67:K130" si="10">E67/2000</f>
        <v>0.2185</v>
      </c>
      <c r="L67">
        <v>0</v>
      </c>
      <c r="M67">
        <f t="shared" si="6"/>
        <v>7.2105000000000002E-2</v>
      </c>
      <c r="N67">
        <f t="shared" si="8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9"/>
        <v>0.1305</v>
      </c>
      <c r="J68">
        <v>0</v>
      </c>
      <c r="K68">
        <f t="shared" si="10"/>
        <v>0.2175</v>
      </c>
      <c r="L68">
        <v>0</v>
      </c>
      <c r="M68">
        <f t="shared" si="6"/>
        <v>7.1775000000000005E-2</v>
      </c>
      <c r="N68">
        <f t="shared" si="8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9"/>
        <v>3.5999999999999997E-2</v>
      </c>
      <c r="J69">
        <v>0</v>
      </c>
      <c r="K69">
        <f t="shared" si="10"/>
        <v>0.06</v>
      </c>
      <c r="L69">
        <v>0</v>
      </c>
      <c r="M69">
        <f t="shared" si="6"/>
        <v>1.9800000000000002E-2</v>
      </c>
      <c r="N69">
        <f t="shared" si="8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9"/>
        <v>1.0799999999999999E-2</v>
      </c>
      <c r="J70">
        <v>0</v>
      </c>
      <c r="K70">
        <f t="shared" si="10"/>
        <v>1.7999999999999999E-2</v>
      </c>
      <c r="L70">
        <v>0</v>
      </c>
      <c r="M70">
        <f t="shared" si="6"/>
        <v>5.94E-3</v>
      </c>
      <c r="N70">
        <f t="shared" si="8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9"/>
        <v>6.8999999999999999E-3</v>
      </c>
      <c r="J71">
        <v>0</v>
      </c>
      <c r="K71">
        <f t="shared" si="10"/>
        <v>1.15E-2</v>
      </c>
      <c r="L71">
        <v>0</v>
      </c>
      <c r="M71">
        <f t="shared" si="6"/>
        <v>3.7950000000000002E-3</v>
      </c>
      <c r="N71">
        <f t="shared" si="8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9"/>
        <v>1.4999999999999999E-2</v>
      </c>
      <c r="J72">
        <v>0</v>
      </c>
      <c r="K72">
        <f t="shared" si="10"/>
        <v>2.5000000000000001E-2</v>
      </c>
      <c r="L72">
        <v>0</v>
      </c>
      <c r="M72">
        <f t="shared" si="6"/>
        <v>8.2500000000000004E-3</v>
      </c>
      <c r="N72">
        <f t="shared" si="8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9"/>
        <v>3.6600000000000001E-2</v>
      </c>
      <c r="J73">
        <v>0</v>
      </c>
      <c r="K73">
        <f t="shared" si="10"/>
        <v>6.0999999999999999E-2</v>
      </c>
      <c r="L73">
        <v>0</v>
      </c>
      <c r="M73">
        <f t="shared" si="6"/>
        <v>2.0130000000000002E-2</v>
      </c>
      <c r="N73">
        <f t="shared" si="8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9"/>
        <v>9.2999999999999992E-3</v>
      </c>
      <c r="J74">
        <v>0</v>
      </c>
      <c r="K74">
        <f t="shared" si="10"/>
        <v>1.55E-2</v>
      </c>
      <c r="L74">
        <v>0</v>
      </c>
      <c r="M74">
        <f t="shared" si="6"/>
        <v>5.1150000000000006E-3</v>
      </c>
      <c r="N74">
        <f t="shared" si="8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9"/>
        <v>1.4999999999999999E-2</v>
      </c>
      <c r="J75">
        <v>0</v>
      </c>
      <c r="K75">
        <f t="shared" si="10"/>
        <v>2.5000000000000001E-2</v>
      </c>
      <c r="L75">
        <v>0</v>
      </c>
      <c r="M75">
        <f t="shared" si="6"/>
        <v>8.2500000000000004E-3</v>
      </c>
      <c r="N75">
        <f t="shared" si="8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9"/>
        <v>1.0799999999999999E-2</v>
      </c>
      <c r="J76">
        <v>0</v>
      </c>
      <c r="K76">
        <f t="shared" si="10"/>
        <v>1.7999999999999999E-2</v>
      </c>
      <c r="L76">
        <v>0</v>
      </c>
      <c r="M76">
        <f t="shared" ref="M76:M139" si="11">0.33*E76/2000</f>
        <v>5.94E-3</v>
      </c>
      <c r="N76">
        <f t="shared" si="8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9"/>
        <v>1.95E-2</v>
      </c>
      <c r="J77">
        <v>0</v>
      </c>
      <c r="K77">
        <f t="shared" si="10"/>
        <v>3.2500000000000001E-2</v>
      </c>
      <c r="L77">
        <v>0</v>
      </c>
      <c r="M77">
        <f t="shared" si="11"/>
        <v>1.0725E-2</v>
      </c>
      <c r="N77">
        <f t="shared" si="8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9"/>
        <v>9.5999999999999992E-3</v>
      </c>
      <c r="J78">
        <v>0</v>
      </c>
      <c r="K78">
        <f t="shared" si="10"/>
        <v>1.6E-2</v>
      </c>
      <c r="L78">
        <v>0</v>
      </c>
      <c r="M78">
        <f t="shared" si="11"/>
        <v>5.28E-3</v>
      </c>
      <c r="N78">
        <f t="shared" ref="N78:N139" si="12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9"/>
        <v>4.4999999999999998E-2</v>
      </c>
      <c r="J79">
        <v>0</v>
      </c>
      <c r="K79">
        <f t="shared" si="10"/>
        <v>7.4999999999999997E-2</v>
      </c>
      <c r="L79">
        <v>0</v>
      </c>
      <c r="M79">
        <f t="shared" si="11"/>
        <v>2.4750000000000001E-2</v>
      </c>
      <c r="N79">
        <f t="shared" si="12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9"/>
        <v>1.7999999999999999E-2</v>
      </c>
      <c r="J80">
        <v>0</v>
      </c>
      <c r="K80">
        <f t="shared" si="10"/>
        <v>0.03</v>
      </c>
      <c r="L80">
        <v>0</v>
      </c>
      <c r="M80">
        <f t="shared" si="11"/>
        <v>9.9000000000000008E-3</v>
      </c>
      <c r="N80">
        <f t="shared" si="12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3">0.6*E81/2000</f>
        <v>9.5999999999999992E-3</v>
      </c>
      <c r="J81">
        <v>0</v>
      </c>
      <c r="K81">
        <f t="shared" si="10"/>
        <v>1.6E-2</v>
      </c>
      <c r="L81">
        <v>0</v>
      </c>
      <c r="M81">
        <f t="shared" si="11"/>
        <v>5.28E-3</v>
      </c>
      <c r="N81">
        <f t="shared" si="12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3"/>
        <v>1.4999999999999999E-2</v>
      </c>
      <c r="J82">
        <v>0</v>
      </c>
      <c r="K82">
        <f t="shared" si="10"/>
        <v>2.5000000000000001E-2</v>
      </c>
      <c r="L82" s="10">
        <v>0</v>
      </c>
      <c r="M82">
        <f t="shared" si="11"/>
        <v>8.2500000000000004E-3</v>
      </c>
      <c r="N82">
        <f t="shared" si="12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603</v>
      </c>
      <c r="E83">
        <v>600</v>
      </c>
      <c r="F83">
        <v>380</v>
      </c>
      <c r="G83">
        <v>21</v>
      </c>
      <c r="I83" s="27">
        <f>0.35*K83</f>
        <v>0.105</v>
      </c>
      <c r="J83">
        <v>0</v>
      </c>
      <c r="K83">
        <f t="shared" si="10"/>
        <v>0.3</v>
      </c>
      <c r="L83">
        <v>0</v>
      </c>
      <c r="M83">
        <f t="shared" si="11"/>
        <v>9.9000000000000005E-2</v>
      </c>
      <c r="N83">
        <f t="shared" si="12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604</v>
      </c>
      <c r="E84">
        <v>129</v>
      </c>
      <c r="F84">
        <v>380</v>
      </c>
      <c r="G84">
        <v>13</v>
      </c>
      <c r="I84" s="27">
        <f t="shared" ref="I84:I109" si="14">0.35*K84</f>
        <v>2.2574999999999998E-2</v>
      </c>
      <c r="J84">
        <v>0</v>
      </c>
      <c r="K84">
        <f t="shared" si="10"/>
        <v>6.4500000000000002E-2</v>
      </c>
      <c r="L84">
        <v>0</v>
      </c>
      <c r="M84">
        <f t="shared" si="11"/>
        <v>2.1285000000000002E-2</v>
      </c>
      <c r="N84">
        <f t="shared" si="12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605</v>
      </c>
      <c r="E85">
        <v>120</v>
      </c>
      <c r="F85">
        <v>380</v>
      </c>
      <c r="G85">
        <v>12</v>
      </c>
      <c r="I85" s="27">
        <f t="shared" si="14"/>
        <v>2.0999999999999998E-2</v>
      </c>
      <c r="J85">
        <v>0</v>
      </c>
      <c r="K85">
        <f t="shared" si="10"/>
        <v>0.06</v>
      </c>
      <c r="L85">
        <v>0</v>
      </c>
      <c r="M85">
        <f t="shared" si="11"/>
        <v>1.9800000000000002E-2</v>
      </c>
      <c r="N85">
        <f t="shared" si="12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606</v>
      </c>
      <c r="E86">
        <v>108</v>
      </c>
      <c r="F86">
        <v>380</v>
      </c>
      <c r="G86">
        <v>12</v>
      </c>
      <c r="I86" s="27">
        <f t="shared" si="14"/>
        <v>1.89E-2</v>
      </c>
      <c r="J86">
        <v>0</v>
      </c>
      <c r="K86">
        <f t="shared" si="10"/>
        <v>5.3999999999999999E-2</v>
      </c>
      <c r="L86">
        <v>0</v>
      </c>
      <c r="M86">
        <f t="shared" si="11"/>
        <v>1.7819999999999999E-2</v>
      </c>
      <c r="N86">
        <f t="shared" si="12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607</v>
      </c>
      <c r="E87">
        <v>122</v>
      </c>
      <c r="F87">
        <v>380</v>
      </c>
      <c r="G87">
        <v>15</v>
      </c>
      <c r="I87" s="27">
        <f t="shared" si="14"/>
        <v>2.1349999999999997E-2</v>
      </c>
      <c r="J87">
        <v>0</v>
      </c>
      <c r="K87">
        <f t="shared" si="10"/>
        <v>6.0999999999999999E-2</v>
      </c>
      <c r="L87">
        <v>0</v>
      </c>
      <c r="M87">
        <f t="shared" si="11"/>
        <v>2.0130000000000002E-2</v>
      </c>
      <c r="N87">
        <f t="shared" si="12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608</v>
      </c>
      <c r="E88">
        <v>171</v>
      </c>
      <c r="F88" s="13">
        <v>220</v>
      </c>
      <c r="G88">
        <v>6</v>
      </c>
      <c r="I88" s="27">
        <f t="shared" si="14"/>
        <v>2.9925E-2</v>
      </c>
      <c r="J88">
        <v>0</v>
      </c>
      <c r="K88">
        <f t="shared" si="10"/>
        <v>8.5500000000000007E-2</v>
      </c>
      <c r="L88">
        <v>0</v>
      </c>
      <c r="M88">
        <f t="shared" si="11"/>
        <v>2.8215E-2</v>
      </c>
      <c r="N88">
        <f t="shared" si="12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609</v>
      </c>
      <c r="E89">
        <v>144</v>
      </c>
      <c r="F89" s="13">
        <v>220</v>
      </c>
      <c r="G89">
        <v>5</v>
      </c>
      <c r="I89" s="27">
        <f t="shared" si="14"/>
        <v>2.5199999999999997E-2</v>
      </c>
      <c r="J89">
        <v>0</v>
      </c>
      <c r="K89">
        <f t="shared" si="10"/>
        <v>7.1999999999999995E-2</v>
      </c>
      <c r="L89">
        <v>0</v>
      </c>
      <c r="M89">
        <f t="shared" si="11"/>
        <v>2.376E-2</v>
      </c>
      <c r="N89">
        <f t="shared" si="12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610</v>
      </c>
      <c r="E90">
        <v>285</v>
      </c>
      <c r="F90" s="13">
        <v>220</v>
      </c>
      <c r="G90">
        <v>5</v>
      </c>
      <c r="I90" s="27">
        <f t="shared" si="14"/>
        <v>4.9874999999999996E-2</v>
      </c>
      <c r="J90">
        <v>0</v>
      </c>
      <c r="K90">
        <f t="shared" si="10"/>
        <v>0.14249999999999999</v>
      </c>
      <c r="L90">
        <v>0</v>
      </c>
      <c r="M90">
        <f t="shared" si="11"/>
        <v>4.7025000000000004E-2</v>
      </c>
      <c r="N90">
        <f t="shared" si="12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611</v>
      </c>
      <c r="E91">
        <v>102</v>
      </c>
      <c r="F91">
        <v>380</v>
      </c>
      <c r="G91">
        <v>28</v>
      </c>
      <c r="I91" s="27">
        <f t="shared" si="14"/>
        <v>1.7849999999999998E-2</v>
      </c>
      <c r="J91">
        <v>0</v>
      </c>
      <c r="K91">
        <f t="shared" si="10"/>
        <v>5.0999999999999997E-2</v>
      </c>
      <c r="L91">
        <v>0</v>
      </c>
      <c r="M91">
        <f t="shared" si="11"/>
        <v>1.6830000000000001E-2</v>
      </c>
      <c r="N91">
        <f t="shared" si="12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612</v>
      </c>
      <c r="E92">
        <v>82.5</v>
      </c>
      <c r="F92">
        <v>380</v>
      </c>
      <c r="G92">
        <v>30</v>
      </c>
      <c r="I92" s="27">
        <f t="shared" si="14"/>
        <v>1.4437499999999999E-2</v>
      </c>
      <c r="J92">
        <v>0</v>
      </c>
      <c r="K92">
        <f t="shared" si="10"/>
        <v>4.1250000000000002E-2</v>
      </c>
      <c r="L92">
        <v>0</v>
      </c>
      <c r="M92">
        <f t="shared" si="11"/>
        <v>1.3612500000000001E-2</v>
      </c>
      <c r="N92">
        <f t="shared" si="12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613</v>
      </c>
      <c r="E93">
        <v>62.7</v>
      </c>
      <c r="F93" s="13">
        <v>220</v>
      </c>
      <c r="G93">
        <v>8</v>
      </c>
      <c r="I93" s="27">
        <f t="shared" si="14"/>
        <v>1.09725E-2</v>
      </c>
      <c r="J93">
        <v>0</v>
      </c>
      <c r="K93">
        <f t="shared" si="10"/>
        <v>3.1350000000000003E-2</v>
      </c>
      <c r="L93">
        <v>0</v>
      </c>
      <c r="M93">
        <f t="shared" si="11"/>
        <v>1.0345500000000001E-2</v>
      </c>
      <c r="N93">
        <f t="shared" si="12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614</v>
      </c>
      <c r="E94">
        <v>50.4</v>
      </c>
      <c r="F94">
        <v>380</v>
      </c>
      <c r="G94">
        <v>28</v>
      </c>
      <c r="I94" s="27">
        <f t="shared" si="14"/>
        <v>8.8199999999999997E-3</v>
      </c>
      <c r="J94">
        <v>0</v>
      </c>
      <c r="K94">
        <f t="shared" si="10"/>
        <v>2.52E-2</v>
      </c>
      <c r="L94">
        <v>0</v>
      </c>
      <c r="M94">
        <f t="shared" si="11"/>
        <v>8.3160000000000005E-3</v>
      </c>
      <c r="N94">
        <f t="shared" si="12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615</v>
      </c>
      <c r="E95">
        <v>316</v>
      </c>
      <c r="F95">
        <v>380</v>
      </c>
      <c r="G95">
        <v>29</v>
      </c>
      <c r="I95" s="27">
        <f t="shared" si="14"/>
        <v>5.5299999999999995E-2</v>
      </c>
      <c r="J95">
        <v>0</v>
      </c>
      <c r="K95">
        <f t="shared" si="10"/>
        <v>0.158</v>
      </c>
      <c r="L95">
        <v>0</v>
      </c>
      <c r="M95">
        <f t="shared" si="11"/>
        <v>5.2139999999999999E-2</v>
      </c>
      <c r="N95">
        <f t="shared" si="12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616</v>
      </c>
      <c r="E96">
        <v>84</v>
      </c>
      <c r="F96" s="13">
        <v>220</v>
      </c>
      <c r="G96">
        <v>4</v>
      </c>
      <c r="I96" s="27">
        <f t="shared" si="14"/>
        <v>1.47E-2</v>
      </c>
      <c r="J96">
        <v>0</v>
      </c>
      <c r="K96">
        <f t="shared" si="10"/>
        <v>4.2000000000000003E-2</v>
      </c>
      <c r="L96">
        <v>0</v>
      </c>
      <c r="M96">
        <f t="shared" si="11"/>
        <v>1.3860000000000001E-2</v>
      </c>
      <c r="N96">
        <f t="shared" si="12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617</v>
      </c>
      <c r="E97">
        <v>63</v>
      </c>
      <c r="F97" s="13">
        <v>220</v>
      </c>
      <c r="G97">
        <v>4</v>
      </c>
      <c r="I97" s="27">
        <f t="shared" si="14"/>
        <v>1.1025E-2</v>
      </c>
      <c r="J97">
        <v>0</v>
      </c>
      <c r="K97">
        <f t="shared" si="10"/>
        <v>3.15E-2</v>
      </c>
      <c r="L97">
        <v>0</v>
      </c>
      <c r="M97">
        <f t="shared" si="11"/>
        <v>1.0395000000000001E-2</v>
      </c>
      <c r="N97">
        <f t="shared" si="12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618</v>
      </c>
      <c r="E98" s="26">
        <v>782</v>
      </c>
      <c r="F98">
        <v>380</v>
      </c>
      <c r="G98">
        <v>29</v>
      </c>
      <c r="I98" s="27">
        <f t="shared" si="14"/>
        <v>0.13685</v>
      </c>
      <c r="J98">
        <v>0</v>
      </c>
      <c r="K98">
        <f t="shared" si="10"/>
        <v>0.39100000000000001</v>
      </c>
      <c r="L98">
        <v>0</v>
      </c>
      <c r="M98">
        <f t="shared" si="11"/>
        <v>0.12903000000000001</v>
      </c>
      <c r="N98">
        <f t="shared" si="12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619</v>
      </c>
      <c r="E99" s="26">
        <v>823</v>
      </c>
      <c r="F99">
        <v>380</v>
      </c>
      <c r="G99">
        <v>32</v>
      </c>
      <c r="I99" s="27">
        <f t="shared" si="14"/>
        <v>0.14402499999999999</v>
      </c>
      <c r="J99">
        <v>0</v>
      </c>
      <c r="K99">
        <f t="shared" si="10"/>
        <v>0.41149999999999998</v>
      </c>
      <c r="L99">
        <v>0</v>
      </c>
      <c r="M99">
        <f t="shared" si="11"/>
        <v>0.13579500000000003</v>
      </c>
      <c r="N99">
        <f t="shared" si="12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620</v>
      </c>
      <c r="E100" s="26">
        <v>669</v>
      </c>
      <c r="F100">
        <v>380</v>
      </c>
      <c r="G100">
        <v>11</v>
      </c>
      <c r="I100" s="27">
        <f t="shared" si="14"/>
        <v>0.117075</v>
      </c>
      <c r="J100">
        <v>0</v>
      </c>
      <c r="K100">
        <f t="shared" si="10"/>
        <v>0.33450000000000002</v>
      </c>
      <c r="L100">
        <v>0</v>
      </c>
      <c r="M100">
        <f t="shared" si="11"/>
        <v>0.11038500000000001</v>
      </c>
      <c r="N100">
        <f t="shared" si="12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621</v>
      </c>
      <c r="E101" s="26">
        <v>2370</v>
      </c>
      <c r="F101">
        <v>380</v>
      </c>
      <c r="G101">
        <v>25</v>
      </c>
      <c r="I101" s="27">
        <f t="shared" si="14"/>
        <v>0.41475000000000001</v>
      </c>
      <c r="J101">
        <v>0</v>
      </c>
      <c r="K101">
        <f t="shared" si="10"/>
        <v>1.1850000000000001</v>
      </c>
      <c r="L101">
        <v>0</v>
      </c>
      <c r="M101">
        <f t="shared" si="11"/>
        <v>0.39105000000000001</v>
      </c>
      <c r="N101">
        <f t="shared" si="12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622</v>
      </c>
      <c r="E102" s="26">
        <v>271</v>
      </c>
      <c r="F102">
        <v>380</v>
      </c>
      <c r="G102">
        <v>17</v>
      </c>
      <c r="I102" s="27">
        <f t="shared" si="14"/>
        <v>4.7425000000000002E-2</v>
      </c>
      <c r="J102">
        <v>0</v>
      </c>
      <c r="K102">
        <f t="shared" si="10"/>
        <v>0.13550000000000001</v>
      </c>
      <c r="L102">
        <v>0</v>
      </c>
      <c r="M102">
        <f t="shared" si="11"/>
        <v>4.4715000000000005E-2</v>
      </c>
      <c r="N102">
        <f t="shared" si="12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623</v>
      </c>
      <c r="E103" s="26">
        <v>1005</v>
      </c>
      <c r="F103" s="13">
        <v>220</v>
      </c>
      <c r="G103">
        <v>6</v>
      </c>
      <c r="I103" s="27">
        <f t="shared" si="14"/>
        <v>0.17587499999999998</v>
      </c>
      <c r="J103">
        <v>0</v>
      </c>
      <c r="K103">
        <f t="shared" si="10"/>
        <v>0.50249999999999995</v>
      </c>
      <c r="L103">
        <v>0</v>
      </c>
      <c r="M103">
        <f t="shared" si="11"/>
        <v>0.16582500000000003</v>
      </c>
      <c r="N103">
        <f t="shared" si="12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624</v>
      </c>
      <c r="E104" s="26">
        <v>677</v>
      </c>
      <c r="F104" s="13">
        <v>220</v>
      </c>
      <c r="G104">
        <v>3</v>
      </c>
      <c r="I104" s="27">
        <f t="shared" si="14"/>
        <v>0.118475</v>
      </c>
      <c r="J104">
        <v>0</v>
      </c>
      <c r="K104">
        <f t="shared" si="10"/>
        <v>0.33850000000000002</v>
      </c>
      <c r="L104">
        <v>0</v>
      </c>
      <c r="M104">
        <f t="shared" si="11"/>
        <v>0.111705</v>
      </c>
      <c r="N104">
        <f t="shared" si="12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625</v>
      </c>
      <c r="E105" s="26">
        <v>297</v>
      </c>
      <c r="F105" s="13">
        <v>220</v>
      </c>
      <c r="G105">
        <v>9</v>
      </c>
      <c r="I105" s="27">
        <f t="shared" si="14"/>
        <v>5.1974999999999993E-2</v>
      </c>
      <c r="J105">
        <v>0</v>
      </c>
      <c r="K105">
        <f t="shared" si="10"/>
        <v>0.14849999999999999</v>
      </c>
      <c r="L105">
        <v>0</v>
      </c>
      <c r="M105">
        <f t="shared" si="11"/>
        <v>4.9005E-2</v>
      </c>
      <c r="N105">
        <f t="shared" si="12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626</v>
      </c>
      <c r="E106" s="26">
        <v>95</v>
      </c>
      <c r="F106">
        <v>380</v>
      </c>
      <c r="G106">
        <v>34</v>
      </c>
      <c r="I106" s="27">
        <f t="shared" si="14"/>
        <v>1.6624999999999997E-2</v>
      </c>
      <c r="J106">
        <v>0</v>
      </c>
      <c r="K106">
        <f t="shared" si="10"/>
        <v>4.7500000000000001E-2</v>
      </c>
      <c r="L106">
        <v>0</v>
      </c>
      <c r="M106">
        <f t="shared" si="11"/>
        <v>1.5675000000000001E-2</v>
      </c>
      <c r="N106">
        <f t="shared" si="12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627</v>
      </c>
      <c r="E107" s="26">
        <v>137</v>
      </c>
      <c r="F107">
        <v>380</v>
      </c>
      <c r="G107">
        <v>26</v>
      </c>
      <c r="I107" s="27">
        <f t="shared" si="14"/>
        <v>2.3975E-2</v>
      </c>
      <c r="J107">
        <v>0</v>
      </c>
      <c r="K107">
        <f t="shared" si="10"/>
        <v>6.8500000000000005E-2</v>
      </c>
      <c r="L107">
        <v>0</v>
      </c>
      <c r="M107">
        <f t="shared" si="11"/>
        <v>2.2605E-2</v>
      </c>
      <c r="N107">
        <f t="shared" si="12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628</v>
      </c>
      <c r="E108" s="26">
        <v>465</v>
      </c>
      <c r="F108">
        <v>380</v>
      </c>
      <c r="G108">
        <v>22</v>
      </c>
      <c r="I108" s="27">
        <f t="shared" si="14"/>
        <v>8.1375000000000003E-2</v>
      </c>
      <c r="J108">
        <v>0</v>
      </c>
      <c r="K108">
        <f t="shared" si="10"/>
        <v>0.23250000000000001</v>
      </c>
      <c r="L108">
        <v>0</v>
      </c>
      <c r="M108">
        <f t="shared" si="11"/>
        <v>7.6725000000000015E-2</v>
      </c>
      <c r="N108">
        <f t="shared" si="12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629</v>
      </c>
      <c r="E109" s="26">
        <v>37</v>
      </c>
      <c r="F109">
        <v>380</v>
      </c>
      <c r="G109">
        <v>10</v>
      </c>
      <c r="I109" s="27">
        <f t="shared" si="14"/>
        <v>6.474999999999999E-3</v>
      </c>
      <c r="J109">
        <v>0</v>
      </c>
      <c r="K109">
        <f t="shared" si="10"/>
        <v>1.8499999999999999E-2</v>
      </c>
      <c r="L109">
        <v>0</v>
      </c>
      <c r="M109">
        <f t="shared" si="11"/>
        <v>6.1050000000000002E-3</v>
      </c>
      <c r="N109">
        <f t="shared" si="12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630</v>
      </c>
      <c r="E110">
        <v>110</v>
      </c>
      <c r="F110" s="13">
        <v>220</v>
      </c>
      <c r="G110">
        <v>4</v>
      </c>
      <c r="I110" s="28">
        <f>0.1*K110</f>
        <v>5.5000000000000005E-3</v>
      </c>
      <c r="J110">
        <v>0</v>
      </c>
      <c r="K110">
        <f t="shared" si="10"/>
        <v>5.5E-2</v>
      </c>
      <c r="L110">
        <v>0</v>
      </c>
      <c r="M110">
        <f t="shared" si="11"/>
        <v>1.8150000000000003E-2</v>
      </c>
      <c r="N110">
        <f t="shared" si="12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631</v>
      </c>
      <c r="E111">
        <v>102</v>
      </c>
      <c r="F111" s="13">
        <v>220</v>
      </c>
      <c r="G111">
        <v>4</v>
      </c>
      <c r="I111" s="28">
        <f t="shared" ref="I111:I125" si="15">0.1*K111</f>
        <v>5.1000000000000004E-3</v>
      </c>
      <c r="J111">
        <v>0</v>
      </c>
      <c r="K111">
        <f t="shared" si="10"/>
        <v>5.0999999999999997E-2</v>
      </c>
      <c r="L111">
        <v>0</v>
      </c>
      <c r="M111">
        <f t="shared" si="11"/>
        <v>1.6830000000000001E-2</v>
      </c>
      <c r="N111">
        <f t="shared" si="12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632</v>
      </c>
      <c r="E112">
        <v>64</v>
      </c>
      <c r="F112" s="13">
        <v>220</v>
      </c>
      <c r="G112">
        <v>4</v>
      </c>
      <c r="I112" s="28">
        <f t="shared" si="15"/>
        <v>3.2000000000000002E-3</v>
      </c>
      <c r="J112">
        <v>0</v>
      </c>
      <c r="K112">
        <f t="shared" si="10"/>
        <v>3.2000000000000001E-2</v>
      </c>
      <c r="L112">
        <v>0</v>
      </c>
      <c r="M112">
        <f t="shared" si="11"/>
        <v>1.056E-2</v>
      </c>
      <c r="N112">
        <f t="shared" si="12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633</v>
      </c>
      <c r="E113">
        <v>54.5</v>
      </c>
      <c r="F113">
        <v>380</v>
      </c>
      <c r="G113">
        <v>11</v>
      </c>
      <c r="I113" s="28">
        <f t="shared" si="15"/>
        <v>2.725E-3</v>
      </c>
      <c r="J113">
        <v>0</v>
      </c>
      <c r="K113">
        <f t="shared" si="10"/>
        <v>2.725E-2</v>
      </c>
      <c r="L113">
        <v>0</v>
      </c>
      <c r="M113">
        <f t="shared" si="11"/>
        <v>8.9925000000000005E-3</v>
      </c>
      <c r="N113">
        <f t="shared" si="12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634</v>
      </c>
      <c r="E114">
        <v>7220</v>
      </c>
      <c r="F114">
        <v>380</v>
      </c>
      <c r="G114">
        <v>29</v>
      </c>
      <c r="I114" s="28">
        <f t="shared" si="15"/>
        <v>0.36099999999999999</v>
      </c>
      <c r="J114">
        <v>0</v>
      </c>
      <c r="K114">
        <f t="shared" si="10"/>
        <v>3.61</v>
      </c>
      <c r="L114">
        <v>0</v>
      </c>
      <c r="M114">
        <f t="shared" si="11"/>
        <v>1.1913</v>
      </c>
      <c r="N114">
        <f t="shared" si="12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635</v>
      </c>
      <c r="E115">
        <v>9289</v>
      </c>
      <c r="F115">
        <v>380</v>
      </c>
      <c r="G115">
        <v>32</v>
      </c>
      <c r="I115" s="28">
        <f t="shared" si="15"/>
        <v>0.46445000000000003</v>
      </c>
      <c r="J115">
        <v>0</v>
      </c>
      <c r="K115">
        <f t="shared" si="10"/>
        <v>4.6444999999999999</v>
      </c>
      <c r="L115">
        <v>0</v>
      </c>
      <c r="M115">
        <f t="shared" si="11"/>
        <v>1.5326850000000001</v>
      </c>
      <c r="N115">
        <f t="shared" si="12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636</v>
      </c>
      <c r="E116">
        <v>3066</v>
      </c>
      <c r="F116">
        <v>380</v>
      </c>
      <c r="G116">
        <v>11</v>
      </c>
      <c r="I116" s="28">
        <f t="shared" si="15"/>
        <v>0.15329999999999999</v>
      </c>
      <c r="J116">
        <v>0</v>
      </c>
      <c r="K116">
        <f t="shared" si="10"/>
        <v>1.5329999999999999</v>
      </c>
      <c r="L116">
        <v>0</v>
      </c>
      <c r="M116">
        <f t="shared" si="11"/>
        <v>0.50589000000000006</v>
      </c>
      <c r="N116">
        <f t="shared" si="12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637</v>
      </c>
      <c r="E117">
        <v>3532</v>
      </c>
      <c r="F117">
        <v>380</v>
      </c>
      <c r="G117">
        <v>25</v>
      </c>
      <c r="I117" s="28">
        <f t="shared" si="15"/>
        <v>0.17660000000000001</v>
      </c>
      <c r="J117">
        <v>0</v>
      </c>
      <c r="K117">
        <f t="shared" si="10"/>
        <v>1.766</v>
      </c>
      <c r="L117">
        <v>0</v>
      </c>
      <c r="M117">
        <f t="shared" si="11"/>
        <v>0.58277999999999996</v>
      </c>
      <c r="N117">
        <f t="shared" si="12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638</v>
      </c>
      <c r="E118">
        <v>10548</v>
      </c>
      <c r="F118">
        <v>380</v>
      </c>
      <c r="G118">
        <v>17</v>
      </c>
      <c r="I118" s="28">
        <f t="shared" si="15"/>
        <v>0.52739999999999998</v>
      </c>
      <c r="J118">
        <v>0</v>
      </c>
      <c r="K118">
        <f t="shared" si="10"/>
        <v>5.274</v>
      </c>
      <c r="L118">
        <v>0</v>
      </c>
      <c r="M118">
        <f t="shared" si="11"/>
        <v>1.7404200000000001</v>
      </c>
      <c r="N118">
        <f t="shared" si="12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639</v>
      </c>
      <c r="E119">
        <v>5143</v>
      </c>
      <c r="F119" s="13">
        <v>220</v>
      </c>
      <c r="G119">
        <v>6</v>
      </c>
      <c r="I119" s="28">
        <f t="shared" si="15"/>
        <v>0.25714999999999999</v>
      </c>
      <c r="J119">
        <v>0</v>
      </c>
      <c r="K119">
        <f t="shared" si="10"/>
        <v>2.5714999999999999</v>
      </c>
      <c r="L119">
        <v>0</v>
      </c>
      <c r="M119">
        <f t="shared" si="11"/>
        <v>0.84859499999999999</v>
      </c>
      <c r="N119">
        <f t="shared" si="12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640</v>
      </c>
      <c r="E120">
        <v>3919</v>
      </c>
      <c r="F120" s="13">
        <v>220</v>
      </c>
      <c r="G120">
        <v>3</v>
      </c>
      <c r="I120" s="28">
        <f t="shared" si="15"/>
        <v>0.19595000000000001</v>
      </c>
      <c r="J120">
        <v>0</v>
      </c>
      <c r="K120">
        <f t="shared" si="10"/>
        <v>1.9595</v>
      </c>
      <c r="L120">
        <v>0</v>
      </c>
      <c r="M120">
        <f t="shared" si="11"/>
        <v>0.64663499999999996</v>
      </c>
      <c r="N120">
        <f t="shared" si="12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641</v>
      </c>
      <c r="E121">
        <v>5089</v>
      </c>
      <c r="F121" s="13">
        <v>220</v>
      </c>
      <c r="G121">
        <v>9</v>
      </c>
      <c r="I121" s="28">
        <f t="shared" si="15"/>
        <v>0.25445000000000001</v>
      </c>
      <c r="J121">
        <v>0</v>
      </c>
      <c r="K121">
        <f t="shared" si="10"/>
        <v>2.5445000000000002</v>
      </c>
      <c r="L121">
        <v>0</v>
      </c>
      <c r="M121">
        <f t="shared" si="11"/>
        <v>0.83968500000000001</v>
      </c>
      <c r="N121">
        <f t="shared" si="12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642</v>
      </c>
      <c r="E122">
        <v>6301</v>
      </c>
      <c r="F122">
        <v>380</v>
      </c>
      <c r="G122">
        <v>34</v>
      </c>
      <c r="I122" s="28">
        <f t="shared" si="15"/>
        <v>0.31505000000000005</v>
      </c>
      <c r="J122">
        <v>0</v>
      </c>
      <c r="K122">
        <f t="shared" si="10"/>
        <v>3.1505000000000001</v>
      </c>
      <c r="L122">
        <v>0</v>
      </c>
      <c r="M122">
        <f t="shared" si="11"/>
        <v>1.0396650000000001</v>
      </c>
      <c r="N122">
        <f t="shared" si="12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643</v>
      </c>
      <c r="E123">
        <v>5939</v>
      </c>
      <c r="F123">
        <v>380</v>
      </c>
      <c r="G123">
        <v>26</v>
      </c>
      <c r="I123" s="28">
        <f t="shared" si="15"/>
        <v>0.29694999999999999</v>
      </c>
      <c r="J123">
        <v>0</v>
      </c>
      <c r="K123">
        <f t="shared" si="10"/>
        <v>2.9695</v>
      </c>
      <c r="L123">
        <v>0</v>
      </c>
      <c r="M123">
        <f t="shared" si="11"/>
        <v>0.97993500000000011</v>
      </c>
      <c r="N123">
        <f t="shared" si="12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644</v>
      </c>
      <c r="E124">
        <v>13039</v>
      </c>
      <c r="F124">
        <v>380</v>
      </c>
      <c r="G124">
        <v>22</v>
      </c>
      <c r="I124" s="28">
        <f t="shared" si="15"/>
        <v>0.65195000000000003</v>
      </c>
      <c r="J124">
        <v>0</v>
      </c>
      <c r="K124">
        <f t="shared" si="10"/>
        <v>6.5194999999999999</v>
      </c>
      <c r="L124">
        <v>0</v>
      </c>
      <c r="M124">
        <f t="shared" si="11"/>
        <v>2.1514349999999998</v>
      </c>
      <c r="N124">
        <f t="shared" si="12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645</v>
      </c>
      <c r="E125">
        <v>4260</v>
      </c>
      <c r="F125">
        <v>380</v>
      </c>
      <c r="G125">
        <v>10</v>
      </c>
      <c r="I125" s="28">
        <f t="shared" si="15"/>
        <v>0.21299999999999999</v>
      </c>
      <c r="J125">
        <v>0</v>
      </c>
      <c r="K125">
        <f t="shared" si="10"/>
        <v>2.13</v>
      </c>
      <c r="L125">
        <v>0</v>
      </c>
      <c r="M125">
        <f t="shared" si="11"/>
        <v>0.70289999999999997</v>
      </c>
      <c r="N125">
        <f t="shared" si="12"/>
        <v>-0.70289999999999997</v>
      </c>
      <c r="O125">
        <v>1</v>
      </c>
    </row>
    <row r="126" spans="1:17" x14ac:dyDescent="0.25">
      <c r="A126" s="11">
        <v>124</v>
      </c>
      <c r="B126">
        <v>124</v>
      </c>
      <c r="C126">
        <v>1</v>
      </c>
      <c r="D126" t="s">
        <v>646</v>
      </c>
      <c r="E126">
        <v>760</v>
      </c>
      <c r="F126">
        <v>380</v>
      </c>
      <c r="G126" s="7">
        <v>28</v>
      </c>
      <c r="I126" s="27">
        <f>0.35*K126</f>
        <v>0.13299999999999998</v>
      </c>
      <c r="J126">
        <v>0</v>
      </c>
      <c r="K126">
        <f t="shared" si="10"/>
        <v>0.38</v>
      </c>
      <c r="L126">
        <v>0</v>
      </c>
      <c r="M126">
        <f t="shared" si="11"/>
        <v>0.12540000000000001</v>
      </c>
      <c r="N126">
        <f t="shared" si="12"/>
        <v>-0.12540000000000001</v>
      </c>
      <c r="O126">
        <v>1</v>
      </c>
    </row>
    <row r="127" spans="1:17" x14ac:dyDescent="0.25">
      <c r="A127" s="11">
        <v>125</v>
      </c>
      <c r="B127">
        <v>125</v>
      </c>
      <c r="C127">
        <v>1</v>
      </c>
      <c r="D127" t="s">
        <v>647</v>
      </c>
      <c r="E127">
        <v>760</v>
      </c>
      <c r="F127">
        <v>380</v>
      </c>
      <c r="G127" s="7">
        <v>28</v>
      </c>
      <c r="I127" s="27">
        <f t="shared" ref="I127:I143" si="16">0.35*K127</f>
        <v>0.13299999999999998</v>
      </c>
      <c r="J127">
        <v>0</v>
      </c>
      <c r="K127">
        <f t="shared" si="10"/>
        <v>0.38</v>
      </c>
      <c r="L127">
        <v>0</v>
      </c>
      <c r="M127">
        <f t="shared" si="11"/>
        <v>0.12540000000000001</v>
      </c>
      <c r="N127">
        <f t="shared" si="12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648</v>
      </c>
      <c r="E128">
        <v>759</v>
      </c>
      <c r="F128">
        <v>380</v>
      </c>
      <c r="G128" s="7">
        <v>12</v>
      </c>
      <c r="I128" s="27">
        <f t="shared" si="16"/>
        <v>0.132825</v>
      </c>
      <c r="J128">
        <v>0</v>
      </c>
      <c r="K128">
        <f t="shared" si="10"/>
        <v>0.3795</v>
      </c>
      <c r="L128">
        <v>0</v>
      </c>
      <c r="M128">
        <f t="shared" si="11"/>
        <v>0.12523500000000001</v>
      </c>
      <c r="N128">
        <f t="shared" si="12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649</v>
      </c>
      <c r="E129">
        <v>756</v>
      </c>
      <c r="F129">
        <v>380</v>
      </c>
      <c r="G129" s="7">
        <v>12</v>
      </c>
      <c r="I129" s="27">
        <f t="shared" si="16"/>
        <v>0.1323</v>
      </c>
      <c r="J129">
        <v>0</v>
      </c>
      <c r="K129">
        <f t="shared" si="10"/>
        <v>0.378</v>
      </c>
      <c r="L129">
        <v>0</v>
      </c>
      <c r="M129">
        <f t="shared" si="11"/>
        <v>0.12474</v>
      </c>
      <c r="N129">
        <f t="shared" si="12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650</v>
      </c>
      <c r="E130">
        <v>700</v>
      </c>
      <c r="F130">
        <v>380</v>
      </c>
      <c r="G130" s="7">
        <v>12</v>
      </c>
      <c r="I130" s="27">
        <f t="shared" si="16"/>
        <v>0.12249999999999998</v>
      </c>
      <c r="J130">
        <v>0</v>
      </c>
      <c r="K130">
        <f t="shared" si="10"/>
        <v>0.35</v>
      </c>
      <c r="L130">
        <v>0</v>
      </c>
      <c r="M130">
        <f t="shared" si="11"/>
        <v>0.11550000000000001</v>
      </c>
      <c r="N130">
        <f t="shared" si="12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651</v>
      </c>
      <c r="E131">
        <v>580</v>
      </c>
      <c r="F131">
        <v>380</v>
      </c>
      <c r="G131" s="7">
        <v>12</v>
      </c>
      <c r="I131" s="27">
        <f t="shared" si="16"/>
        <v>0.10149999999999999</v>
      </c>
      <c r="J131">
        <v>0</v>
      </c>
      <c r="K131">
        <f t="shared" ref="K131:K171" si="17">E131/2000</f>
        <v>0.28999999999999998</v>
      </c>
      <c r="L131">
        <v>0</v>
      </c>
      <c r="M131">
        <f t="shared" si="11"/>
        <v>9.5700000000000007E-2</v>
      </c>
      <c r="N131">
        <f t="shared" si="12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652</v>
      </c>
      <c r="E132">
        <v>752</v>
      </c>
      <c r="F132">
        <v>380</v>
      </c>
      <c r="G132" s="7">
        <v>11</v>
      </c>
      <c r="I132" s="27">
        <f t="shared" si="16"/>
        <v>0.13159999999999999</v>
      </c>
      <c r="J132">
        <v>0</v>
      </c>
      <c r="K132">
        <f t="shared" si="17"/>
        <v>0.376</v>
      </c>
      <c r="L132">
        <v>0</v>
      </c>
      <c r="M132">
        <f t="shared" si="11"/>
        <v>0.12408000000000001</v>
      </c>
      <c r="N132">
        <f t="shared" si="12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653</v>
      </c>
      <c r="E133">
        <v>731.5</v>
      </c>
      <c r="F133">
        <v>380</v>
      </c>
      <c r="G133" s="7">
        <v>11</v>
      </c>
      <c r="I133" s="27">
        <f t="shared" si="16"/>
        <v>0.1280125</v>
      </c>
      <c r="J133">
        <v>0</v>
      </c>
      <c r="K133">
        <f t="shared" si="17"/>
        <v>0.36575000000000002</v>
      </c>
      <c r="L133">
        <v>0</v>
      </c>
      <c r="M133">
        <f t="shared" si="11"/>
        <v>0.1206975</v>
      </c>
      <c r="N133">
        <f t="shared" si="12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654</v>
      </c>
      <c r="E134">
        <v>19</v>
      </c>
      <c r="F134">
        <v>380</v>
      </c>
      <c r="G134" s="7">
        <v>11</v>
      </c>
      <c r="I134" s="27">
        <f t="shared" si="16"/>
        <v>3.3249999999999998E-3</v>
      </c>
      <c r="J134">
        <v>0</v>
      </c>
      <c r="K134">
        <f t="shared" si="17"/>
        <v>9.4999999999999998E-3</v>
      </c>
      <c r="L134">
        <v>0</v>
      </c>
      <c r="M134">
        <f t="shared" si="11"/>
        <v>3.1350000000000002E-3</v>
      </c>
      <c r="N134">
        <f t="shared" si="12"/>
        <v>-3.1350000000000002E-3</v>
      </c>
      <c r="O134">
        <v>1</v>
      </c>
    </row>
    <row r="135" spans="1:15" x14ac:dyDescent="0.25">
      <c r="A135" s="11">
        <v>133</v>
      </c>
      <c r="B135">
        <v>133</v>
      </c>
      <c r="C135">
        <v>1</v>
      </c>
      <c r="D135" t="s">
        <v>655</v>
      </c>
      <c r="E135">
        <v>2000</v>
      </c>
      <c r="F135">
        <v>380</v>
      </c>
      <c r="G135" s="7">
        <v>28</v>
      </c>
      <c r="I135" s="27">
        <f t="shared" si="16"/>
        <v>0.35</v>
      </c>
      <c r="J135">
        <v>0</v>
      </c>
      <c r="K135">
        <f t="shared" si="17"/>
        <v>1</v>
      </c>
      <c r="L135">
        <v>0</v>
      </c>
      <c r="M135">
        <f t="shared" si="11"/>
        <v>0.33</v>
      </c>
      <c r="N135">
        <f t="shared" si="12"/>
        <v>-0.33</v>
      </c>
      <c r="O135">
        <v>1</v>
      </c>
    </row>
    <row r="136" spans="1:15" x14ac:dyDescent="0.25">
      <c r="A136" s="11">
        <v>134</v>
      </c>
      <c r="B136">
        <v>134</v>
      </c>
      <c r="C136">
        <v>1</v>
      </c>
      <c r="D136" t="s">
        <v>656</v>
      </c>
      <c r="E136">
        <v>2000</v>
      </c>
      <c r="F136">
        <v>380</v>
      </c>
      <c r="G136" s="7">
        <v>11</v>
      </c>
      <c r="I136" s="27">
        <f t="shared" si="16"/>
        <v>0.35</v>
      </c>
      <c r="J136">
        <v>0</v>
      </c>
      <c r="K136">
        <f t="shared" si="17"/>
        <v>1</v>
      </c>
      <c r="L136">
        <v>0</v>
      </c>
      <c r="M136">
        <f t="shared" si="11"/>
        <v>0.33</v>
      </c>
      <c r="N136">
        <f t="shared" si="12"/>
        <v>-0.33</v>
      </c>
      <c r="O136">
        <v>1</v>
      </c>
    </row>
    <row r="137" spans="1:15" x14ac:dyDescent="0.25">
      <c r="A137" s="11">
        <v>135</v>
      </c>
      <c r="B137">
        <v>135</v>
      </c>
      <c r="C137">
        <v>1</v>
      </c>
      <c r="D137" t="s">
        <v>657</v>
      </c>
      <c r="E137">
        <v>2000</v>
      </c>
      <c r="F137">
        <v>380</v>
      </c>
      <c r="G137" s="7">
        <v>28</v>
      </c>
      <c r="I137" s="27">
        <f t="shared" si="16"/>
        <v>0.35</v>
      </c>
      <c r="J137">
        <v>0</v>
      </c>
      <c r="K137">
        <f t="shared" si="17"/>
        <v>1</v>
      </c>
      <c r="L137">
        <v>0</v>
      </c>
      <c r="M137">
        <f t="shared" si="11"/>
        <v>0.33</v>
      </c>
      <c r="N137">
        <f t="shared" si="12"/>
        <v>-0.33</v>
      </c>
      <c r="O137">
        <v>1</v>
      </c>
    </row>
    <row r="138" spans="1:15" x14ac:dyDescent="0.25">
      <c r="A138" s="11">
        <v>136</v>
      </c>
      <c r="B138">
        <v>136</v>
      </c>
      <c r="C138">
        <v>1</v>
      </c>
      <c r="D138" t="s">
        <v>689</v>
      </c>
      <c r="E138">
        <v>3000</v>
      </c>
      <c r="F138">
        <v>380</v>
      </c>
      <c r="G138" s="7">
        <v>22</v>
      </c>
      <c r="I138" s="27">
        <f t="shared" si="16"/>
        <v>0.52499999999999991</v>
      </c>
      <c r="J138">
        <v>0</v>
      </c>
      <c r="K138">
        <f t="shared" si="17"/>
        <v>1.5</v>
      </c>
      <c r="L138">
        <v>0</v>
      </c>
      <c r="M138">
        <f t="shared" si="11"/>
        <v>0.495</v>
      </c>
      <c r="N138">
        <f t="shared" si="12"/>
        <v>-0.495</v>
      </c>
      <c r="O138">
        <v>1</v>
      </c>
    </row>
    <row r="139" spans="1:15" x14ac:dyDescent="0.25">
      <c r="A139" s="11">
        <v>137</v>
      </c>
      <c r="B139">
        <v>137</v>
      </c>
      <c r="C139">
        <v>1</v>
      </c>
      <c r="D139" t="s">
        <v>690</v>
      </c>
      <c r="E139">
        <v>3000</v>
      </c>
      <c r="F139">
        <v>380</v>
      </c>
      <c r="G139" s="7">
        <v>22</v>
      </c>
      <c r="I139" s="27">
        <f t="shared" si="16"/>
        <v>0.52499999999999991</v>
      </c>
      <c r="J139">
        <v>0</v>
      </c>
      <c r="K139">
        <f t="shared" si="17"/>
        <v>1.5</v>
      </c>
      <c r="L139">
        <v>0</v>
      </c>
      <c r="M139">
        <f t="shared" si="11"/>
        <v>0.495</v>
      </c>
      <c r="N139">
        <f t="shared" si="12"/>
        <v>-0.495</v>
      </c>
      <c r="O139">
        <v>1</v>
      </c>
    </row>
    <row r="140" spans="1:15" x14ac:dyDescent="0.25">
      <c r="A140" s="11">
        <v>138</v>
      </c>
      <c r="B140">
        <v>138</v>
      </c>
      <c r="C140">
        <v>1</v>
      </c>
      <c r="D140" t="s">
        <v>658</v>
      </c>
      <c r="E140">
        <v>4000</v>
      </c>
      <c r="F140">
        <v>380</v>
      </c>
      <c r="G140" s="7">
        <v>21</v>
      </c>
      <c r="I140" s="27">
        <f t="shared" si="16"/>
        <v>0.7</v>
      </c>
      <c r="J140">
        <v>0</v>
      </c>
      <c r="K140">
        <f t="shared" si="17"/>
        <v>2</v>
      </c>
      <c r="L140">
        <v>0</v>
      </c>
      <c r="M140">
        <f t="shared" ref="M140:M171" si="18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659</v>
      </c>
      <c r="E141">
        <v>80</v>
      </c>
      <c r="F141">
        <v>380</v>
      </c>
      <c r="G141" s="7">
        <v>51</v>
      </c>
      <c r="I141" s="27">
        <f t="shared" si="16"/>
        <v>1.3999999999999999E-2</v>
      </c>
      <c r="J141">
        <v>0</v>
      </c>
      <c r="K141">
        <f t="shared" si="17"/>
        <v>0.04</v>
      </c>
      <c r="L141">
        <v>0</v>
      </c>
      <c r="M141">
        <f t="shared" si="18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660</v>
      </c>
      <c r="E142">
        <v>60</v>
      </c>
      <c r="F142">
        <v>380</v>
      </c>
      <c r="G142" s="7">
        <v>25</v>
      </c>
      <c r="I142" s="27">
        <f t="shared" si="16"/>
        <v>1.0499999999999999E-2</v>
      </c>
      <c r="J142">
        <v>0</v>
      </c>
      <c r="K142">
        <f t="shared" si="17"/>
        <v>0.03</v>
      </c>
      <c r="L142">
        <v>0</v>
      </c>
      <c r="M142">
        <f t="shared" si="18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661</v>
      </c>
      <c r="E143">
        <v>50</v>
      </c>
      <c r="F143">
        <v>380</v>
      </c>
      <c r="G143" s="7">
        <v>47</v>
      </c>
      <c r="I143" s="27">
        <f t="shared" si="16"/>
        <v>8.7499999999999991E-3</v>
      </c>
      <c r="J143">
        <v>0</v>
      </c>
      <c r="K143">
        <f t="shared" si="17"/>
        <v>2.5000000000000001E-2</v>
      </c>
      <c r="L143">
        <v>0</v>
      </c>
      <c r="M143">
        <f t="shared" si="18"/>
        <v>8.2500000000000004E-3</v>
      </c>
      <c r="N143">
        <f t="shared" ref="N143:N171" si="19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662</v>
      </c>
      <c r="E144">
        <v>89</v>
      </c>
      <c r="F144">
        <v>380</v>
      </c>
      <c r="G144" s="7">
        <v>47</v>
      </c>
      <c r="I144" s="28">
        <f>0.1*K144</f>
        <v>4.45E-3</v>
      </c>
      <c r="J144">
        <v>0</v>
      </c>
      <c r="K144">
        <f t="shared" si="17"/>
        <v>4.4499999999999998E-2</v>
      </c>
      <c r="L144">
        <v>0</v>
      </c>
      <c r="M144">
        <f t="shared" si="18"/>
        <v>1.4685E-2</v>
      </c>
      <c r="N144">
        <f t="shared" si="19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663</v>
      </c>
      <c r="E145">
        <v>55</v>
      </c>
      <c r="F145">
        <v>380</v>
      </c>
      <c r="G145" s="7">
        <v>25</v>
      </c>
      <c r="I145" s="28">
        <f t="shared" ref="I145:I171" si="20">0.1*K145</f>
        <v>2.7500000000000003E-3</v>
      </c>
      <c r="J145">
        <v>0</v>
      </c>
      <c r="K145">
        <f t="shared" si="17"/>
        <v>2.75E-2</v>
      </c>
      <c r="L145">
        <v>0</v>
      </c>
      <c r="M145">
        <f t="shared" si="18"/>
        <v>9.0750000000000015E-3</v>
      </c>
      <c r="N145">
        <f t="shared" si="19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664</v>
      </c>
      <c r="E146">
        <v>148</v>
      </c>
      <c r="F146">
        <v>380</v>
      </c>
      <c r="G146" s="7">
        <v>25</v>
      </c>
      <c r="I146" s="28">
        <f t="shared" si="20"/>
        <v>7.4000000000000003E-3</v>
      </c>
      <c r="J146">
        <v>0</v>
      </c>
      <c r="K146">
        <f t="shared" si="17"/>
        <v>7.3999999999999996E-2</v>
      </c>
      <c r="L146">
        <v>0</v>
      </c>
      <c r="M146">
        <f t="shared" si="18"/>
        <v>2.4420000000000001E-2</v>
      </c>
      <c r="N146">
        <f t="shared" si="19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665</v>
      </c>
      <c r="E147">
        <v>50</v>
      </c>
      <c r="F147">
        <v>380</v>
      </c>
      <c r="G147" s="7">
        <v>46</v>
      </c>
      <c r="I147" s="28">
        <f t="shared" si="20"/>
        <v>2.5000000000000005E-3</v>
      </c>
      <c r="J147">
        <v>0</v>
      </c>
      <c r="K147">
        <f t="shared" si="17"/>
        <v>2.5000000000000001E-2</v>
      </c>
      <c r="L147">
        <v>0</v>
      </c>
      <c r="M147">
        <f t="shared" si="18"/>
        <v>8.2500000000000004E-3</v>
      </c>
      <c r="N147">
        <f t="shared" si="19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666</v>
      </c>
      <c r="E148">
        <v>80</v>
      </c>
      <c r="F148">
        <v>380</v>
      </c>
      <c r="G148" s="7">
        <v>16</v>
      </c>
      <c r="I148" s="28">
        <f t="shared" si="20"/>
        <v>4.0000000000000001E-3</v>
      </c>
      <c r="J148">
        <v>0</v>
      </c>
      <c r="K148">
        <f t="shared" si="17"/>
        <v>0.04</v>
      </c>
      <c r="L148">
        <v>0</v>
      </c>
      <c r="M148">
        <f t="shared" si="18"/>
        <v>1.3200000000000002E-2</v>
      </c>
      <c r="N148">
        <f t="shared" si="19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667</v>
      </c>
      <c r="E149">
        <v>61</v>
      </c>
      <c r="F149">
        <v>380</v>
      </c>
      <c r="G149" s="7">
        <v>45</v>
      </c>
      <c r="I149" s="28">
        <f t="shared" si="20"/>
        <v>3.0500000000000002E-3</v>
      </c>
      <c r="J149">
        <v>0</v>
      </c>
      <c r="K149">
        <f t="shared" si="17"/>
        <v>3.0499999999999999E-2</v>
      </c>
      <c r="L149">
        <v>0</v>
      </c>
      <c r="M149">
        <f t="shared" si="18"/>
        <v>1.0065000000000001E-2</v>
      </c>
      <c r="N149">
        <f t="shared" si="19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668</v>
      </c>
      <c r="E150">
        <v>74</v>
      </c>
      <c r="F150">
        <v>380</v>
      </c>
      <c r="G150" s="7">
        <v>23</v>
      </c>
      <c r="I150" s="28">
        <f>0.1*K150</f>
        <v>3.7000000000000002E-3</v>
      </c>
      <c r="J150">
        <v>0</v>
      </c>
      <c r="K150">
        <f t="shared" si="17"/>
        <v>3.6999999999999998E-2</v>
      </c>
      <c r="L150">
        <v>0</v>
      </c>
      <c r="M150">
        <f t="shared" si="18"/>
        <v>1.221E-2</v>
      </c>
      <c r="N150">
        <f t="shared" si="19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669</v>
      </c>
      <c r="E151">
        <v>55</v>
      </c>
      <c r="F151">
        <v>380</v>
      </c>
      <c r="G151" s="7">
        <v>23</v>
      </c>
      <c r="I151" s="28">
        <f t="shared" si="20"/>
        <v>2.7500000000000003E-3</v>
      </c>
      <c r="J151">
        <v>0</v>
      </c>
      <c r="K151">
        <f t="shared" si="17"/>
        <v>2.75E-2</v>
      </c>
      <c r="L151">
        <v>0</v>
      </c>
      <c r="M151">
        <f t="shared" si="18"/>
        <v>9.0750000000000015E-3</v>
      </c>
      <c r="N151">
        <f t="shared" si="19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670</v>
      </c>
      <c r="E152">
        <v>55</v>
      </c>
      <c r="F152">
        <v>380</v>
      </c>
      <c r="G152" s="7">
        <v>20</v>
      </c>
      <c r="I152" s="28">
        <f t="shared" si="20"/>
        <v>2.7500000000000003E-3</v>
      </c>
      <c r="J152">
        <v>0</v>
      </c>
      <c r="K152">
        <f t="shared" si="17"/>
        <v>2.75E-2</v>
      </c>
      <c r="L152">
        <v>0</v>
      </c>
      <c r="M152">
        <f t="shared" si="18"/>
        <v>9.0750000000000015E-3</v>
      </c>
      <c r="N152">
        <f t="shared" si="19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671</v>
      </c>
      <c r="E153">
        <v>75</v>
      </c>
      <c r="F153">
        <v>380</v>
      </c>
      <c r="G153" s="7">
        <v>19</v>
      </c>
      <c r="I153" s="28">
        <f t="shared" si="20"/>
        <v>3.7499999999999999E-3</v>
      </c>
      <c r="J153">
        <v>0</v>
      </c>
      <c r="K153">
        <f t="shared" si="17"/>
        <v>3.7499999999999999E-2</v>
      </c>
      <c r="L153">
        <v>0</v>
      </c>
      <c r="M153">
        <f t="shared" si="18"/>
        <v>1.2375000000000001E-2</v>
      </c>
      <c r="N153">
        <f t="shared" si="19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672</v>
      </c>
      <c r="E154">
        <v>54</v>
      </c>
      <c r="F154">
        <v>380</v>
      </c>
      <c r="G154" s="7">
        <v>30</v>
      </c>
      <c r="I154" s="28">
        <f t="shared" si="20"/>
        <v>2.7000000000000001E-3</v>
      </c>
      <c r="J154">
        <v>0</v>
      </c>
      <c r="K154">
        <f t="shared" si="17"/>
        <v>2.7E-2</v>
      </c>
      <c r="L154">
        <v>0</v>
      </c>
      <c r="M154">
        <f t="shared" si="18"/>
        <v>8.9099999999999995E-3</v>
      </c>
      <c r="N154">
        <f t="shared" si="19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673</v>
      </c>
      <c r="E155">
        <v>65</v>
      </c>
      <c r="F155" s="13">
        <v>220</v>
      </c>
      <c r="G155" s="7">
        <v>9</v>
      </c>
      <c r="I155" s="28">
        <f t="shared" si="20"/>
        <v>3.2500000000000003E-3</v>
      </c>
      <c r="J155">
        <v>0</v>
      </c>
      <c r="K155">
        <f t="shared" si="17"/>
        <v>3.2500000000000001E-2</v>
      </c>
      <c r="L155">
        <v>0</v>
      </c>
      <c r="M155">
        <f t="shared" si="18"/>
        <v>1.0725E-2</v>
      </c>
      <c r="N155">
        <f t="shared" si="19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674</v>
      </c>
      <c r="E156">
        <v>62</v>
      </c>
      <c r="F156">
        <v>380</v>
      </c>
      <c r="G156" s="7">
        <v>50</v>
      </c>
      <c r="I156" s="28">
        <f t="shared" si="20"/>
        <v>3.1000000000000003E-3</v>
      </c>
      <c r="J156">
        <v>0</v>
      </c>
      <c r="K156">
        <f t="shared" si="17"/>
        <v>3.1E-2</v>
      </c>
      <c r="L156">
        <v>0</v>
      </c>
      <c r="M156">
        <f t="shared" si="18"/>
        <v>1.0230000000000001E-2</v>
      </c>
      <c r="N156">
        <f t="shared" si="19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675</v>
      </c>
      <c r="E157">
        <v>94</v>
      </c>
      <c r="F157">
        <v>380</v>
      </c>
      <c r="G157" s="7">
        <v>27</v>
      </c>
      <c r="I157" s="28">
        <f t="shared" si="20"/>
        <v>4.7000000000000002E-3</v>
      </c>
      <c r="J157">
        <v>0</v>
      </c>
      <c r="K157">
        <f t="shared" si="17"/>
        <v>4.7E-2</v>
      </c>
      <c r="L157">
        <v>0</v>
      </c>
      <c r="M157">
        <f t="shared" si="18"/>
        <v>1.5510000000000001E-2</v>
      </c>
      <c r="N157">
        <f t="shared" si="19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676</v>
      </c>
      <c r="E158">
        <v>96</v>
      </c>
      <c r="F158">
        <v>380</v>
      </c>
      <c r="G158" s="7">
        <v>20</v>
      </c>
      <c r="I158" s="28">
        <f t="shared" si="20"/>
        <v>4.8000000000000004E-3</v>
      </c>
      <c r="J158">
        <v>0</v>
      </c>
      <c r="K158">
        <f t="shared" si="17"/>
        <v>4.8000000000000001E-2</v>
      </c>
      <c r="L158">
        <v>0</v>
      </c>
      <c r="M158">
        <f t="shared" si="18"/>
        <v>1.584E-2</v>
      </c>
      <c r="N158">
        <f t="shared" si="19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677</v>
      </c>
      <c r="E159">
        <v>86</v>
      </c>
      <c r="F159">
        <v>380</v>
      </c>
      <c r="G159" s="7">
        <v>27</v>
      </c>
      <c r="I159" s="28">
        <f t="shared" si="20"/>
        <v>4.3E-3</v>
      </c>
      <c r="J159">
        <v>0</v>
      </c>
      <c r="K159">
        <f t="shared" si="17"/>
        <v>4.2999999999999997E-2</v>
      </c>
      <c r="L159">
        <v>0</v>
      </c>
      <c r="M159">
        <f t="shared" si="18"/>
        <v>1.4190000000000001E-2</v>
      </c>
      <c r="N159">
        <f t="shared" si="19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630</v>
      </c>
      <c r="E160">
        <v>132</v>
      </c>
      <c r="F160">
        <v>380</v>
      </c>
      <c r="G160" s="7">
        <v>47</v>
      </c>
      <c r="I160" s="28">
        <f t="shared" si="20"/>
        <v>6.6000000000000008E-3</v>
      </c>
      <c r="J160">
        <v>0</v>
      </c>
      <c r="K160">
        <f t="shared" si="17"/>
        <v>6.6000000000000003E-2</v>
      </c>
      <c r="L160">
        <v>0</v>
      </c>
      <c r="M160">
        <f t="shared" si="18"/>
        <v>2.1780000000000001E-2</v>
      </c>
      <c r="N160">
        <f t="shared" si="19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678</v>
      </c>
      <c r="E161">
        <v>65</v>
      </c>
      <c r="F161">
        <v>380</v>
      </c>
      <c r="G161" s="7">
        <v>48</v>
      </c>
      <c r="I161" s="28">
        <f t="shared" si="20"/>
        <v>3.2500000000000003E-3</v>
      </c>
      <c r="J161">
        <v>0</v>
      </c>
      <c r="K161">
        <f t="shared" si="17"/>
        <v>3.2500000000000001E-2</v>
      </c>
      <c r="L161">
        <v>0</v>
      </c>
      <c r="M161">
        <f t="shared" si="18"/>
        <v>1.0725E-2</v>
      </c>
      <c r="N161">
        <f t="shared" si="19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679</v>
      </c>
      <c r="E162">
        <v>116</v>
      </c>
      <c r="F162">
        <v>380</v>
      </c>
      <c r="G162" s="7">
        <v>27</v>
      </c>
      <c r="I162" s="28">
        <f t="shared" si="20"/>
        <v>5.8000000000000005E-3</v>
      </c>
      <c r="J162">
        <v>0</v>
      </c>
      <c r="K162">
        <f t="shared" si="17"/>
        <v>5.8000000000000003E-2</v>
      </c>
      <c r="L162">
        <v>0</v>
      </c>
      <c r="M162">
        <f t="shared" si="18"/>
        <v>1.9140000000000001E-2</v>
      </c>
      <c r="N162">
        <f t="shared" si="19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680</v>
      </c>
      <c r="E163">
        <v>63</v>
      </c>
      <c r="F163" s="13">
        <v>220</v>
      </c>
      <c r="G163" s="7">
        <v>9</v>
      </c>
      <c r="I163" s="28">
        <f t="shared" si="20"/>
        <v>3.15E-3</v>
      </c>
      <c r="J163">
        <v>0</v>
      </c>
      <c r="K163">
        <f t="shared" si="17"/>
        <v>3.15E-2</v>
      </c>
      <c r="L163">
        <v>0</v>
      </c>
      <c r="M163">
        <f t="shared" si="18"/>
        <v>1.0395000000000001E-2</v>
      </c>
      <c r="N163">
        <f t="shared" si="19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681</v>
      </c>
      <c r="E164">
        <v>58</v>
      </c>
      <c r="F164">
        <v>380</v>
      </c>
      <c r="G164" s="7">
        <v>48</v>
      </c>
      <c r="I164" s="28">
        <f t="shared" si="20"/>
        <v>2.9000000000000002E-3</v>
      </c>
      <c r="J164">
        <v>0</v>
      </c>
      <c r="K164">
        <f t="shared" si="17"/>
        <v>2.9000000000000001E-2</v>
      </c>
      <c r="L164">
        <v>0</v>
      </c>
      <c r="M164">
        <f t="shared" si="18"/>
        <v>9.5700000000000004E-3</v>
      </c>
      <c r="N164">
        <f t="shared" si="19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682</v>
      </c>
      <c r="E165">
        <v>115</v>
      </c>
      <c r="F165">
        <v>380</v>
      </c>
      <c r="G165" s="7">
        <v>20</v>
      </c>
      <c r="I165" s="28">
        <f t="shared" si="20"/>
        <v>5.7500000000000008E-3</v>
      </c>
      <c r="J165">
        <v>0</v>
      </c>
      <c r="K165">
        <f t="shared" si="17"/>
        <v>5.7500000000000002E-2</v>
      </c>
      <c r="L165">
        <v>0</v>
      </c>
      <c r="M165">
        <f t="shared" si="18"/>
        <v>1.8975000000000002E-2</v>
      </c>
      <c r="N165">
        <f t="shared" si="19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683</v>
      </c>
      <c r="E166">
        <v>108</v>
      </c>
      <c r="F166" s="13">
        <v>220</v>
      </c>
      <c r="G166" s="7">
        <v>5</v>
      </c>
      <c r="I166" s="28">
        <f t="shared" si="20"/>
        <v>5.4000000000000003E-3</v>
      </c>
      <c r="J166">
        <v>0</v>
      </c>
      <c r="K166">
        <f t="shared" si="17"/>
        <v>5.3999999999999999E-2</v>
      </c>
      <c r="L166">
        <v>0</v>
      </c>
      <c r="M166">
        <f t="shared" si="18"/>
        <v>1.7819999999999999E-2</v>
      </c>
      <c r="N166">
        <f t="shared" si="19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684</v>
      </c>
      <c r="E167">
        <v>53</v>
      </c>
      <c r="F167" s="13">
        <v>220</v>
      </c>
      <c r="G167" s="7">
        <v>3</v>
      </c>
      <c r="I167" s="28">
        <f t="shared" si="20"/>
        <v>2.65E-3</v>
      </c>
      <c r="J167">
        <v>0</v>
      </c>
      <c r="K167">
        <f t="shared" si="17"/>
        <v>2.6499999999999999E-2</v>
      </c>
      <c r="L167">
        <v>0</v>
      </c>
      <c r="M167">
        <f t="shared" si="18"/>
        <v>8.745000000000001E-3</v>
      </c>
      <c r="N167">
        <f t="shared" si="19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685</v>
      </c>
      <c r="E168">
        <v>58</v>
      </c>
      <c r="F168">
        <v>380</v>
      </c>
      <c r="G168" s="7">
        <v>19</v>
      </c>
      <c r="I168" s="28">
        <f t="shared" si="20"/>
        <v>2.9000000000000002E-3</v>
      </c>
      <c r="J168">
        <v>0</v>
      </c>
      <c r="K168">
        <f t="shared" si="17"/>
        <v>2.9000000000000001E-2</v>
      </c>
      <c r="L168">
        <v>0</v>
      </c>
      <c r="M168">
        <f t="shared" si="18"/>
        <v>9.5700000000000004E-3</v>
      </c>
      <c r="N168">
        <f t="shared" si="19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686</v>
      </c>
      <c r="E169">
        <v>62</v>
      </c>
      <c r="F169">
        <v>380</v>
      </c>
      <c r="G169" s="7">
        <v>31</v>
      </c>
      <c r="I169" s="28">
        <f t="shared" si="20"/>
        <v>3.1000000000000003E-3</v>
      </c>
      <c r="J169">
        <v>0</v>
      </c>
      <c r="K169">
        <f t="shared" si="17"/>
        <v>3.1E-2</v>
      </c>
      <c r="L169">
        <v>0</v>
      </c>
      <c r="M169">
        <f t="shared" si="18"/>
        <v>1.0230000000000001E-2</v>
      </c>
      <c r="N169">
        <f t="shared" si="19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687</v>
      </c>
      <c r="E170">
        <v>136</v>
      </c>
      <c r="F170">
        <v>380</v>
      </c>
      <c r="G170" s="7">
        <v>31</v>
      </c>
      <c r="I170" s="28">
        <f t="shared" si="20"/>
        <v>6.8000000000000005E-3</v>
      </c>
      <c r="J170">
        <v>0</v>
      </c>
      <c r="K170">
        <f t="shared" si="17"/>
        <v>6.8000000000000005E-2</v>
      </c>
      <c r="L170">
        <v>0</v>
      </c>
      <c r="M170">
        <f t="shared" si="18"/>
        <v>2.2440000000000002E-2</v>
      </c>
      <c r="N170">
        <f t="shared" si="19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688</v>
      </c>
      <c r="E171" s="10">
        <v>59</v>
      </c>
      <c r="F171" s="13">
        <v>220</v>
      </c>
      <c r="G171" s="7">
        <v>8</v>
      </c>
      <c r="H171" s="10"/>
      <c r="I171" s="28">
        <f t="shared" si="20"/>
        <v>2.9499999999999999E-3</v>
      </c>
      <c r="J171" s="10">
        <v>0</v>
      </c>
      <c r="K171">
        <f t="shared" si="17"/>
        <v>2.9499999999999998E-2</v>
      </c>
      <c r="L171" s="10">
        <v>0</v>
      </c>
      <c r="M171">
        <f t="shared" si="18"/>
        <v>9.7350000000000006E-3</v>
      </c>
      <c r="N171">
        <f t="shared" si="19"/>
        <v>-9.7350000000000006E-3</v>
      </c>
      <c r="O171" s="5">
        <v>0.57894736842105265</v>
      </c>
      <c r="P171" s="5">
        <v>0.81052631578947365</v>
      </c>
      <c r="Q171" s="5">
        <v>0.3473684210526316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tabSelected="1" workbookViewId="0">
      <pane ySplit="1" topLeftCell="A2" activePane="bottomLeft" state="frozen"/>
      <selection pane="bottomLeft" activeCell="J10" sqref="J10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1972</v>
      </c>
      <c r="F2">
        <v>380</v>
      </c>
      <c r="G2">
        <v>40</v>
      </c>
      <c r="I2" s="31">
        <f>0.1/2</f>
        <v>0.05</v>
      </c>
      <c r="J2">
        <v>0</v>
      </c>
      <c r="K2">
        <f>1.972/2</f>
        <v>0.98599999999999999</v>
      </c>
      <c r="L2">
        <f>-K2</f>
        <v>-0.98599999999999999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87" workbookViewId="0">
      <pane ySplit="1" topLeftCell="A28" activePane="bottomLeft" state="frozen"/>
      <selection pane="bottomLeft" activeCell="Y34" sqref="Y34:Z36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3" t="s">
        <v>129</v>
      </c>
      <c r="C35" s="33">
        <v>1</v>
      </c>
      <c r="D35" s="33" t="s">
        <v>221</v>
      </c>
      <c r="E35" s="33">
        <v>17</v>
      </c>
      <c r="F35" s="33">
        <v>40</v>
      </c>
      <c r="G35" s="33">
        <v>1000</v>
      </c>
      <c r="H35" s="33">
        <v>50</v>
      </c>
      <c r="I35" s="33">
        <v>380</v>
      </c>
      <c r="J35" s="33">
        <v>380</v>
      </c>
      <c r="K35" s="33">
        <f>L35*0.03</f>
        <v>8.9999999999999998E-4</v>
      </c>
      <c r="L35" s="33">
        <v>0.03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1</v>
      </c>
      <c r="U35" s="33">
        <v>0</v>
      </c>
    </row>
    <row r="36" spans="1:21" x14ac:dyDescent="0.25">
      <c r="A36" s="1">
        <v>34</v>
      </c>
      <c r="B36" s="33" t="s">
        <v>130</v>
      </c>
      <c r="C36" s="33">
        <v>1</v>
      </c>
      <c r="D36" s="33" t="s">
        <v>222</v>
      </c>
      <c r="E36" s="33">
        <v>17</v>
      </c>
      <c r="F36" s="33">
        <v>40</v>
      </c>
      <c r="G36" s="33">
        <v>1000</v>
      </c>
      <c r="H36" s="33">
        <v>50</v>
      </c>
      <c r="I36" s="33">
        <v>380</v>
      </c>
      <c r="J36" s="33">
        <v>380</v>
      </c>
      <c r="K36" s="33">
        <f>L36*0.03</f>
        <v>8.9999999999999998E-4</v>
      </c>
      <c r="L36" s="33">
        <v>0.03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1</v>
      </c>
      <c r="U36" s="33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3" t="s">
        <v>137</v>
      </c>
      <c r="C43" s="33">
        <v>1</v>
      </c>
      <c r="D43" s="33" t="s">
        <v>229</v>
      </c>
      <c r="E43" s="33">
        <v>39</v>
      </c>
      <c r="F43" s="33">
        <v>23</v>
      </c>
      <c r="G43" s="33">
        <v>1000</v>
      </c>
      <c r="H43" s="33">
        <v>50</v>
      </c>
      <c r="I43" s="33">
        <v>380</v>
      </c>
      <c r="J43" s="33">
        <v>380</v>
      </c>
      <c r="K43" s="33">
        <f>L43*0.03</f>
        <v>8.9999999999999998E-4</v>
      </c>
      <c r="L43" s="33">
        <v>0.03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1</v>
      </c>
      <c r="U43" s="33">
        <v>0</v>
      </c>
    </row>
    <row r="44" spans="1:21" x14ac:dyDescent="0.25">
      <c r="A44" s="1">
        <v>42</v>
      </c>
      <c r="B44" s="33" t="s">
        <v>138</v>
      </c>
      <c r="C44" s="33">
        <v>1</v>
      </c>
      <c r="D44" s="33" t="s">
        <v>230</v>
      </c>
      <c r="E44" s="33">
        <v>39</v>
      </c>
      <c r="F44" s="33">
        <v>23</v>
      </c>
      <c r="G44" s="33">
        <v>1000</v>
      </c>
      <c r="H44" s="33">
        <v>50</v>
      </c>
      <c r="I44" s="33">
        <v>380</v>
      </c>
      <c r="J44" s="33">
        <v>380</v>
      </c>
      <c r="K44" s="33">
        <f>L44*0.03</f>
        <v>8.9999999999999998E-4</v>
      </c>
      <c r="L44" s="33">
        <v>0.03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1</v>
      </c>
      <c r="U44" s="33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3" t="s">
        <v>148</v>
      </c>
      <c r="C54" s="33">
        <v>1</v>
      </c>
      <c r="D54" s="33" t="s">
        <v>240</v>
      </c>
      <c r="E54" s="33">
        <v>26</v>
      </c>
      <c r="F54" s="33">
        <v>41</v>
      </c>
      <c r="G54" s="33">
        <v>1000</v>
      </c>
      <c r="H54" s="33">
        <v>50</v>
      </c>
      <c r="I54" s="33">
        <v>380</v>
      </c>
      <c r="J54" s="33">
        <v>380</v>
      </c>
      <c r="K54" s="33">
        <f>L54*0.03</f>
        <v>8.9999999999999998E-4</v>
      </c>
      <c r="L54" s="33">
        <v>0.03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1</v>
      </c>
      <c r="U54" s="33">
        <v>0</v>
      </c>
    </row>
    <row r="55" spans="1:21" x14ac:dyDescent="0.25">
      <c r="A55" s="1">
        <v>53</v>
      </c>
      <c r="B55" s="33" t="s">
        <v>149</v>
      </c>
      <c r="C55" s="33">
        <v>1</v>
      </c>
      <c r="D55" s="33" t="s">
        <v>241</v>
      </c>
      <c r="E55" s="33">
        <v>26</v>
      </c>
      <c r="F55" s="33">
        <v>42</v>
      </c>
      <c r="G55" s="33">
        <v>1000</v>
      </c>
      <c r="H55" s="33">
        <v>50</v>
      </c>
      <c r="I55" s="33">
        <v>380</v>
      </c>
      <c r="J55" s="33">
        <v>380</v>
      </c>
      <c r="K55" s="33">
        <f>L55*0.03</f>
        <v>8.9999999999999998E-4</v>
      </c>
      <c r="L55" s="33">
        <v>0.03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1</v>
      </c>
      <c r="U55" s="33">
        <v>0</v>
      </c>
    </row>
    <row r="56" spans="1:21" x14ac:dyDescent="0.25">
      <c r="A56" s="1">
        <v>54</v>
      </c>
      <c r="B56" s="33" t="s">
        <v>150</v>
      </c>
      <c r="C56" s="33">
        <v>1</v>
      </c>
      <c r="D56" s="33" t="s">
        <v>242</v>
      </c>
      <c r="E56" s="33">
        <v>27</v>
      </c>
      <c r="F56" s="33">
        <v>38</v>
      </c>
      <c r="G56" s="33">
        <v>1000</v>
      </c>
      <c r="H56" s="33">
        <v>50</v>
      </c>
      <c r="I56" s="33">
        <v>380</v>
      </c>
      <c r="J56" s="33">
        <v>380</v>
      </c>
      <c r="K56" s="33">
        <f>L56*0.03</f>
        <v>8.9999999999999998E-4</v>
      </c>
      <c r="L56" s="33">
        <v>0.03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1</v>
      </c>
      <c r="U56" s="33">
        <v>0</v>
      </c>
    </row>
    <row r="57" spans="1:21" x14ac:dyDescent="0.25">
      <c r="A57" s="1">
        <v>55</v>
      </c>
      <c r="B57" s="33" t="s">
        <v>151</v>
      </c>
      <c r="C57" s="33">
        <v>1</v>
      </c>
      <c r="D57" s="33" t="s">
        <v>243</v>
      </c>
      <c r="E57" s="33">
        <v>27</v>
      </c>
      <c r="F57" s="33">
        <v>38</v>
      </c>
      <c r="G57" s="33">
        <v>1000</v>
      </c>
      <c r="H57" s="33">
        <v>50</v>
      </c>
      <c r="I57" s="33">
        <v>380</v>
      </c>
      <c r="J57" s="33">
        <v>380</v>
      </c>
      <c r="K57" s="33">
        <f>L57*0.03</f>
        <v>8.9999999999999998E-4</v>
      </c>
      <c r="L57" s="33">
        <v>0.03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1</v>
      </c>
      <c r="U57" s="33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3" t="s">
        <v>155</v>
      </c>
      <c r="C61" s="33">
        <v>1</v>
      </c>
      <c r="D61" s="33" t="s">
        <v>247</v>
      </c>
      <c r="E61" s="33">
        <v>30</v>
      </c>
      <c r="F61" s="33">
        <v>44</v>
      </c>
      <c r="G61" s="33">
        <v>1000</v>
      </c>
      <c r="H61" s="33">
        <v>50</v>
      </c>
      <c r="I61" s="33">
        <v>380</v>
      </c>
      <c r="J61" s="33">
        <v>380</v>
      </c>
      <c r="K61" s="33">
        <f>L61*0.03</f>
        <v>8.9999999999999998E-4</v>
      </c>
      <c r="L61" s="33">
        <v>0.03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1</v>
      </c>
      <c r="U61" s="33">
        <v>0</v>
      </c>
    </row>
    <row r="62" spans="1:21" x14ac:dyDescent="0.25">
      <c r="A62" s="1">
        <v>60</v>
      </c>
      <c r="B62" s="33" t="s">
        <v>156</v>
      </c>
      <c r="C62" s="33">
        <v>1</v>
      </c>
      <c r="D62" s="33" t="s">
        <v>248</v>
      </c>
      <c r="E62" s="33">
        <v>30</v>
      </c>
      <c r="F62" s="33">
        <v>44</v>
      </c>
      <c r="G62" s="33">
        <v>1000</v>
      </c>
      <c r="H62" s="33">
        <v>50</v>
      </c>
      <c r="I62" s="33">
        <v>380</v>
      </c>
      <c r="J62" s="33">
        <v>380</v>
      </c>
      <c r="K62" s="33">
        <f>L62*0.03</f>
        <v>8.9999999999999998E-4</v>
      </c>
      <c r="L62" s="33">
        <v>0.03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1</v>
      </c>
      <c r="U62" s="33">
        <v>0</v>
      </c>
    </row>
    <row r="63" spans="1:21" x14ac:dyDescent="0.25">
      <c r="A63" s="1">
        <v>61</v>
      </c>
      <c r="B63" s="33" t="s">
        <v>157</v>
      </c>
      <c r="C63" s="33">
        <v>1</v>
      </c>
      <c r="D63" s="33" t="s">
        <v>249</v>
      </c>
      <c r="E63" s="33">
        <v>43</v>
      </c>
      <c r="F63" s="33">
        <v>26</v>
      </c>
      <c r="G63" s="33">
        <v>1000</v>
      </c>
      <c r="H63" s="33">
        <v>50</v>
      </c>
      <c r="I63" s="33">
        <v>380</v>
      </c>
      <c r="J63" s="33">
        <v>380</v>
      </c>
      <c r="K63" s="33">
        <f>L63*0.03</f>
        <v>8.9999999999999998E-4</v>
      </c>
      <c r="L63" s="33">
        <v>0.03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1</v>
      </c>
      <c r="U63" s="33">
        <v>0</v>
      </c>
    </row>
    <row r="64" spans="1:21" x14ac:dyDescent="0.25">
      <c r="A64" s="1">
        <v>62</v>
      </c>
      <c r="B64" s="33" t="s">
        <v>158</v>
      </c>
      <c r="C64" s="33">
        <v>1</v>
      </c>
      <c r="D64" s="33" t="s">
        <v>250</v>
      </c>
      <c r="E64" s="33">
        <v>43</v>
      </c>
      <c r="F64" s="33">
        <v>26</v>
      </c>
      <c r="G64" s="33">
        <v>1000</v>
      </c>
      <c r="H64" s="33">
        <v>50</v>
      </c>
      <c r="I64" s="33">
        <v>380</v>
      </c>
      <c r="J64" s="33">
        <v>380</v>
      </c>
      <c r="K64" s="33">
        <f>L64*0.03</f>
        <v>8.9999999999999998E-4</v>
      </c>
      <c r="L64" s="33">
        <v>0.03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1</v>
      </c>
      <c r="U64" s="33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3" t="s">
        <v>165</v>
      </c>
      <c r="C71" s="33">
        <v>1</v>
      </c>
      <c r="D71" s="33" t="s">
        <v>257</v>
      </c>
      <c r="E71" s="33">
        <v>36</v>
      </c>
      <c r="F71" s="33">
        <v>21</v>
      </c>
      <c r="G71" s="33">
        <v>1000</v>
      </c>
      <c r="H71" s="33">
        <v>50</v>
      </c>
      <c r="I71" s="33">
        <v>380</v>
      </c>
      <c r="J71" s="33">
        <v>380</v>
      </c>
      <c r="K71" s="33">
        <f t="shared" ref="K71:K76" si="0">L71*0.03</f>
        <v>8.9999999999999998E-4</v>
      </c>
      <c r="L71" s="33">
        <v>0.03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1</v>
      </c>
      <c r="U71" s="33">
        <v>0</v>
      </c>
    </row>
    <row r="72" spans="1:21" x14ac:dyDescent="0.25">
      <c r="A72" s="1">
        <v>70</v>
      </c>
      <c r="B72" s="33" t="s">
        <v>166</v>
      </c>
      <c r="C72" s="33">
        <v>1</v>
      </c>
      <c r="D72" s="33" t="s">
        <v>258</v>
      </c>
      <c r="E72" s="33">
        <v>36</v>
      </c>
      <c r="F72" s="33">
        <v>21</v>
      </c>
      <c r="G72" s="33">
        <v>1000</v>
      </c>
      <c r="H72" s="33">
        <v>50</v>
      </c>
      <c r="I72" s="33">
        <v>380</v>
      </c>
      <c r="J72" s="33">
        <v>380</v>
      </c>
      <c r="K72" s="33">
        <f t="shared" si="0"/>
        <v>8.9999999999999998E-4</v>
      </c>
      <c r="L72" s="33">
        <v>0.03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1</v>
      </c>
      <c r="U72" s="33">
        <v>0</v>
      </c>
    </row>
    <row r="73" spans="1:21" x14ac:dyDescent="0.25">
      <c r="A73" s="1">
        <v>71</v>
      </c>
      <c r="B73" s="33" t="s">
        <v>167</v>
      </c>
      <c r="C73" s="33">
        <v>1</v>
      </c>
      <c r="D73" s="33" t="s">
        <v>259</v>
      </c>
      <c r="E73" s="33">
        <v>37</v>
      </c>
      <c r="F73" s="33">
        <v>18</v>
      </c>
      <c r="G73" s="33">
        <v>1000</v>
      </c>
      <c r="H73" s="33">
        <v>50</v>
      </c>
      <c r="I73" s="33">
        <v>380</v>
      </c>
      <c r="J73" s="33">
        <v>380</v>
      </c>
      <c r="K73" s="33">
        <f t="shared" si="0"/>
        <v>8.9999999999999998E-4</v>
      </c>
      <c r="L73" s="33">
        <v>0.03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1</v>
      </c>
      <c r="U73" s="33">
        <v>0</v>
      </c>
    </row>
    <row r="74" spans="1:21" x14ac:dyDescent="0.25">
      <c r="A74" s="1">
        <v>72</v>
      </c>
      <c r="B74" s="33" t="s">
        <v>168</v>
      </c>
      <c r="C74" s="33">
        <v>1</v>
      </c>
      <c r="D74" s="33" t="s">
        <v>260</v>
      </c>
      <c r="E74" s="33">
        <v>37</v>
      </c>
      <c r="F74" s="33">
        <v>18</v>
      </c>
      <c r="G74" s="33">
        <v>1000</v>
      </c>
      <c r="H74" s="33">
        <v>50</v>
      </c>
      <c r="I74" s="33">
        <v>380</v>
      </c>
      <c r="J74" s="33">
        <v>380</v>
      </c>
      <c r="K74" s="33">
        <f t="shared" si="0"/>
        <v>8.9999999999999998E-4</v>
      </c>
      <c r="L74" s="33">
        <v>0.03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1</v>
      </c>
      <c r="U74" s="33">
        <v>0</v>
      </c>
    </row>
    <row r="75" spans="1:21" x14ac:dyDescent="0.25">
      <c r="A75" s="1">
        <v>73</v>
      </c>
      <c r="B75" s="33" t="s">
        <v>169</v>
      </c>
      <c r="C75" s="33">
        <v>1</v>
      </c>
      <c r="D75" s="33" t="s">
        <v>261</v>
      </c>
      <c r="E75" s="33">
        <v>35</v>
      </c>
      <c r="F75" s="33">
        <v>28</v>
      </c>
      <c r="G75" s="33">
        <v>1000</v>
      </c>
      <c r="H75" s="33">
        <v>50</v>
      </c>
      <c r="I75" s="33">
        <v>380</v>
      </c>
      <c r="J75" s="33">
        <v>380</v>
      </c>
      <c r="K75" s="33">
        <f t="shared" si="0"/>
        <v>8.9999999999999998E-4</v>
      </c>
      <c r="L75" s="33">
        <v>0.03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1</v>
      </c>
      <c r="U75" s="33">
        <v>0</v>
      </c>
    </row>
    <row r="76" spans="1:21" x14ac:dyDescent="0.25">
      <c r="A76" s="1">
        <v>74</v>
      </c>
      <c r="B76" s="33" t="s">
        <v>170</v>
      </c>
      <c r="C76" s="33">
        <v>1</v>
      </c>
      <c r="D76" s="33" t="s">
        <v>262</v>
      </c>
      <c r="E76" s="33">
        <v>35</v>
      </c>
      <c r="F76" s="33">
        <v>28</v>
      </c>
      <c r="G76" s="33">
        <v>1000</v>
      </c>
      <c r="H76" s="33">
        <v>50</v>
      </c>
      <c r="I76" s="33">
        <v>380</v>
      </c>
      <c r="J76" s="33">
        <v>380</v>
      </c>
      <c r="K76" s="33">
        <f t="shared" si="0"/>
        <v>8.9999999999999998E-4</v>
      </c>
      <c r="L76" s="33">
        <v>0.03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1</v>
      </c>
      <c r="U76" s="33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988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989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990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991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2" activePane="bottomLeft" state="frozen"/>
      <selection pane="bottomLeft" activeCell="I2" sqref="I2:I83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36" t="s">
        <v>692</v>
      </c>
      <c r="I1" s="1" t="s">
        <v>17</v>
      </c>
      <c r="J1" s="1" t="s">
        <v>3</v>
      </c>
      <c r="K1" s="1" t="s">
        <v>27</v>
      </c>
      <c r="L1" s="2" t="s">
        <v>58</v>
      </c>
      <c r="M1" s="29" t="s">
        <v>59</v>
      </c>
      <c r="N1" s="29" t="s">
        <v>23</v>
      </c>
      <c r="O1" s="30" t="s">
        <v>60</v>
      </c>
      <c r="P1" s="3" t="s">
        <v>65</v>
      </c>
      <c r="Q1" s="25" t="s">
        <v>61</v>
      </c>
      <c r="R1" s="25" t="s">
        <v>62</v>
      </c>
      <c r="S1" s="25" t="s">
        <v>63</v>
      </c>
      <c r="T1" s="25" t="s">
        <v>64</v>
      </c>
      <c r="U1" s="25" t="s">
        <v>411</v>
      </c>
      <c r="V1" s="25" t="s">
        <v>412</v>
      </c>
      <c r="W1" s="25" t="s">
        <v>693</v>
      </c>
      <c r="X1" s="1" t="s">
        <v>694</v>
      </c>
      <c r="Y1" s="1" t="s">
        <v>695</v>
      </c>
      <c r="Z1" s="1" t="s">
        <v>696</v>
      </c>
      <c r="AA1" s="1" t="s">
        <v>697</v>
      </c>
      <c r="AB1" s="1" t="s">
        <v>698</v>
      </c>
      <c r="AC1" s="1" t="s">
        <v>699</v>
      </c>
      <c r="AD1" s="1" t="s">
        <v>700</v>
      </c>
      <c r="AE1" s="1" t="s">
        <v>701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702</v>
      </c>
      <c r="E2">
        <v>38</v>
      </c>
      <c r="F2">
        <v>0</v>
      </c>
      <c r="I2">
        <v>1972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703</v>
      </c>
      <c r="E3">
        <v>39</v>
      </c>
      <c r="F3">
        <v>1</v>
      </c>
      <c r="I3">
        <v>1972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704</v>
      </c>
      <c r="E4">
        <v>41</v>
      </c>
      <c r="F4">
        <v>2</v>
      </c>
      <c r="I4">
        <v>986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705</v>
      </c>
      <c r="E5">
        <v>42</v>
      </c>
      <c r="F5">
        <v>3</v>
      </c>
      <c r="I5">
        <v>986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706</v>
      </c>
      <c r="E6">
        <v>43</v>
      </c>
      <c r="F6">
        <v>4</v>
      </c>
      <c r="I6">
        <v>1128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707</v>
      </c>
      <c r="E7">
        <v>44</v>
      </c>
      <c r="F7">
        <v>5</v>
      </c>
      <c r="I7">
        <v>1128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708</v>
      </c>
      <c r="E8">
        <v>35</v>
      </c>
      <c r="F8">
        <v>6</v>
      </c>
      <c r="I8">
        <v>1000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709</v>
      </c>
      <c r="E9">
        <v>36</v>
      </c>
      <c r="F9">
        <v>7</v>
      </c>
      <c r="I9">
        <v>700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710</v>
      </c>
      <c r="E10" s="10">
        <v>37</v>
      </c>
      <c r="F10" s="10">
        <v>8</v>
      </c>
      <c r="G10" s="10"/>
      <c r="H10" s="10"/>
      <c r="I10" s="10">
        <v>700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711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712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713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714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715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716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717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718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719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720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721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722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723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724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725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726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727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728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729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730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731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732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733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734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735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736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737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738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739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740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741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742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743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744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745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746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747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748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749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750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751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752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753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754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755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756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757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758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759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760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761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762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763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764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765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766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767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768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769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770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771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772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773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774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775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776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777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778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779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780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781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782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>
        <v>0</v>
      </c>
      <c r="M82" s="10">
        <v>7</v>
      </c>
      <c r="N82" s="10">
        <v>0</v>
      </c>
      <c r="O82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4">
        <v>170</v>
      </c>
      <c r="B83" s="23">
        <v>170</v>
      </c>
      <c r="C83" s="23">
        <v>1</v>
      </c>
      <c r="D83" s="23" t="s">
        <v>783</v>
      </c>
      <c r="E83" s="23">
        <v>40</v>
      </c>
      <c r="F83" s="23">
        <v>170</v>
      </c>
      <c r="G83" s="23"/>
      <c r="H83" s="23"/>
      <c r="I83" s="23">
        <v>1972</v>
      </c>
      <c r="J83" s="23">
        <v>380</v>
      </c>
      <c r="K83" s="23">
        <v>50</v>
      </c>
      <c r="L83">
        <v>0</v>
      </c>
      <c r="M83" s="23">
        <v>6</v>
      </c>
      <c r="N83" s="23">
        <v>0</v>
      </c>
      <c r="O83">
        <v>0.1</v>
      </c>
      <c r="P83" s="23">
        <v>0.30199999999999999</v>
      </c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workbookViewId="0">
      <selection activeCell="P17" sqref="P17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5" t="s">
        <v>600</v>
      </c>
      <c r="J1" s="35" t="s">
        <v>601</v>
      </c>
      <c r="K1" s="35" t="s">
        <v>419</v>
      </c>
      <c r="L1" s="35" t="s">
        <v>420</v>
      </c>
      <c r="M1" s="35" t="s">
        <v>599</v>
      </c>
      <c r="N1" s="35" t="s">
        <v>602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>
        <v>0</v>
      </c>
      <c r="C2">
        <v>1</v>
      </c>
      <c r="D2" t="s">
        <v>883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>
        <v>1</v>
      </c>
      <c r="C3">
        <v>1</v>
      </c>
      <c r="D3" t="s">
        <v>421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>
        <v>2</v>
      </c>
      <c r="C4">
        <v>1</v>
      </c>
      <c r="D4" t="s">
        <v>422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>
        <v>3</v>
      </c>
      <c r="C5">
        <v>1</v>
      </c>
      <c r="D5" t="s">
        <v>423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>
        <v>4</v>
      </c>
      <c r="C6">
        <v>1</v>
      </c>
      <c r="D6" t="s">
        <v>424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>
        <v>5</v>
      </c>
      <c r="C7">
        <v>1</v>
      </c>
      <c r="D7" t="s">
        <v>425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>
        <v>6</v>
      </c>
      <c r="C8">
        <v>1</v>
      </c>
      <c r="D8" t="s">
        <v>426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>
        <v>7</v>
      </c>
      <c r="C9">
        <v>1</v>
      </c>
      <c r="D9" t="s">
        <v>427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>
        <v>8</v>
      </c>
      <c r="C10" s="10">
        <v>1</v>
      </c>
      <c r="D10" s="10" t="s">
        <v>428</v>
      </c>
      <c r="E10" s="10">
        <v>8</v>
      </c>
      <c r="F10" s="10"/>
      <c r="G10" s="10">
        <v>1</v>
      </c>
      <c r="H10" s="10">
        <v>0.05</v>
      </c>
      <c r="I10" s="10"/>
      <c r="J10" s="10"/>
      <c r="K10" s="10">
        <v>0.2</v>
      </c>
      <c r="L10" s="10">
        <f t="shared" si="0"/>
        <v>2.3800000000000003</v>
      </c>
      <c r="M10" s="10">
        <v>7</v>
      </c>
      <c r="N10" s="10">
        <v>0</v>
      </c>
      <c r="O10" s="10"/>
      <c r="P10" s="10"/>
      <c r="Q10" s="10"/>
    </row>
    <row r="11" spans="1:17" x14ac:dyDescent="0.25">
      <c r="A11" s="1">
        <v>9</v>
      </c>
      <c r="B11">
        <v>9</v>
      </c>
      <c r="C11">
        <v>1</v>
      </c>
      <c r="D11" t="s">
        <v>429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>
        <v>10</v>
      </c>
      <c r="C12">
        <v>1</v>
      </c>
      <c r="D12" t="s">
        <v>430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>
        <v>11</v>
      </c>
      <c r="C13">
        <v>1</v>
      </c>
      <c r="D13" t="s">
        <v>431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>
        <v>12</v>
      </c>
      <c r="C14">
        <v>1</v>
      </c>
      <c r="D14" t="s">
        <v>432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>
        <v>13</v>
      </c>
      <c r="C15">
        <v>1</v>
      </c>
      <c r="D15" t="s">
        <v>433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>
        <v>14</v>
      </c>
      <c r="C16">
        <v>1</v>
      </c>
      <c r="D16" t="s">
        <v>434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>
        <v>15</v>
      </c>
      <c r="C17">
        <v>1</v>
      </c>
      <c r="D17" t="s">
        <v>435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>
        <v>16</v>
      </c>
      <c r="C18">
        <v>1</v>
      </c>
      <c r="D18" t="s">
        <v>436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>
        <v>17</v>
      </c>
      <c r="C19">
        <v>1</v>
      </c>
      <c r="D19" t="s">
        <v>437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>
        <v>18</v>
      </c>
      <c r="C20">
        <v>1</v>
      </c>
      <c r="D20" t="s">
        <v>438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>
        <v>19</v>
      </c>
      <c r="C21">
        <v>1</v>
      </c>
      <c r="D21" t="s">
        <v>439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>
        <v>20</v>
      </c>
      <c r="C22">
        <v>1</v>
      </c>
      <c r="D22" t="s">
        <v>440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>
        <v>21</v>
      </c>
      <c r="C23">
        <v>1</v>
      </c>
      <c r="D23" t="s">
        <v>441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>
        <v>22</v>
      </c>
      <c r="C24">
        <v>1</v>
      </c>
      <c r="D24" t="s">
        <v>442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>
        <v>23</v>
      </c>
      <c r="C25">
        <v>1</v>
      </c>
      <c r="D25" t="s">
        <v>443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>
        <v>24</v>
      </c>
      <c r="C26">
        <v>1</v>
      </c>
      <c r="D26" t="s">
        <v>444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>
        <v>25</v>
      </c>
      <c r="C27">
        <v>1</v>
      </c>
      <c r="D27" t="s">
        <v>445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>
        <v>26</v>
      </c>
      <c r="C28">
        <v>1</v>
      </c>
      <c r="D28" t="s">
        <v>446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>
        <v>27</v>
      </c>
      <c r="C29">
        <v>1</v>
      </c>
      <c r="D29" t="s">
        <v>447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>
        <v>28</v>
      </c>
      <c r="C30">
        <v>1</v>
      </c>
      <c r="D30" t="s">
        <v>448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>
        <v>29</v>
      </c>
      <c r="C31">
        <v>1</v>
      </c>
      <c r="D31" t="s">
        <v>449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>
        <v>30</v>
      </c>
      <c r="C32">
        <v>1</v>
      </c>
      <c r="D32" t="s">
        <v>450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>
        <v>31</v>
      </c>
      <c r="C33">
        <v>1</v>
      </c>
      <c r="D33" t="s">
        <v>451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>
        <v>32</v>
      </c>
      <c r="C34">
        <v>1</v>
      </c>
      <c r="D34" t="s">
        <v>452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>
        <v>33</v>
      </c>
      <c r="C35">
        <v>1</v>
      </c>
      <c r="D35" t="s">
        <v>453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>
        <v>34</v>
      </c>
      <c r="C36">
        <v>1</v>
      </c>
      <c r="D36" t="s">
        <v>454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>
        <v>35</v>
      </c>
      <c r="C37">
        <v>1</v>
      </c>
      <c r="D37" t="s">
        <v>455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>
        <v>36</v>
      </c>
      <c r="C38">
        <v>1</v>
      </c>
      <c r="D38" t="s">
        <v>456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>
        <v>37</v>
      </c>
      <c r="C39">
        <v>1</v>
      </c>
      <c r="D39" t="s">
        <v>457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>
        <v>38</v>
      </c>
      <c r="C40">
        <v>1</v>
      </c>
      <c r="D40" t="s">
        <v>458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>
        <v>39</v>
      </c>
      <c r="C41">
        <v>1</v>
      </c>
      <c r="D41" t="s">
        <v>459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>
        <v>40</v>
      </c>
      <c r="C42">
        <v>1</v>
      </c>
      <c r="D42" t="s">
        <v>460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>
        <v>41</v>
      </c>
      <c r="C43">
        <v>1</v>
      </c>
      <c r="D43" t="s">
        <v>461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>
        <v>42</v>
      </c>
      <c r="C44">
        <v>1</v>
      </c>
      <c r="D44" t="s">
        <v>462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>
        <v>43</v>
      </c>
      <c r="C45">
        <v>1</v>
      </c>
      <c r="D45" t="s">
        <v>463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>
        <v>44</v>
      </c>
      <c r="C46">
        <v>1</v>
      </c>
      <c r="D46" t="s">
        <v>464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>
        <v>45</v>
      </c>
      <c r="C47">
        <v>1</v>
      </c>
      <c r="D47" t="s">
        <v>465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>
        <v>46</v>
      </c>
      <c r="C48">
        <v>1</v>
      </c>
      <c r="D48" t="s">
        <v>466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>
        <v>47</v>
      </c>
      <c r="C49">
        <v>1</v>
      </c>
      <c r="D49" t="s">
        <v>467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>
        <v>48</v>
      </c>
      <c r="C50">
        <v>1</v>
      </c>
      <c r="D50" t="s">
        <v>468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>
        <v>49</v>
      </c>
      <c r="C51">
        <v>1</v>
      </c>
      <c r="D51" t="s">
        <v>469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>
        <v>50</v>
      </c>
      <c r="C52">
        <v>1</v>
      </c>
      <c r="D52" t="s">
        <v>470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>
        <v>51</v>
      </c>
      <c r="C53">
        <v>1</v>
      </c>
      <c r="D53" t="s">
        <v>471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>
        <v>52</v>
      </c>
      <c r="C54">
        <v>1</v>
      </c>
      <c r="D54" t="s">
        <v>472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>
        <v>53</v>
      </c>
      <c r="C55">
        <v>1</v>
      </c>
      <c r="D55" t="s">
        <v>473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>
        <v>54</v>
      </c>
      <c r="C56">
        <v>1</v>
      </c>
      <c r="D56" t="s">
        <v>474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>
        <v>55</v>
      </c>
      <c r="C57">
        <v>1</v>
      </c>
      <c r="D57" t="s">
        <v>475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>
        <v>56</v>
      </c>
      <c r="C58">
        <v>1</v>
      </c>
      <c r="D58" t="s">
        <v>476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>
        <v>57</v>
      </c>
      <c r="C59">
        <v>1</v>
      </c>
      <c r="D59" t="s">
        <v>477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>
        <v>58</v>
      </c>
      <c r="C60">
        <v>1</v>
      </c>
      <c r="D60" t="s">
        <v>478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>
        <v>59</v>
      </c>
      <c r="C61">
        <v>1</v>
      </c>
      <c r="D61" t="s">
        <v>479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>
        <v>60</v>
      </c>
      <c r="C62">
        <v>1</v>
      </c>
      <c r="D62" t="s">
        <v>480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>
        <v>61</v>
      </c>
      <c r="C63">
        <v>1</v>
      </c>
      <c r="D63" t="s">
        <v>481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>
        <v>62</v>
      </c>
      <c r="C64">
        <v>1</v>
      </c>
      <c r="D64" t="s">
        <v>482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>
        <v>63</v>
      </c>
      <c r="C65">
        <v>1</v>
      </c>
      <c r="D65" t="s">
        <v>483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>
        <v>64</v>
      </c>
      <c r="C66">
        <v>1</v>
      </c>
      <c r="D66" t="s">
        <v>484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>
        <v>65</v>
      </c>
      <c r="C67">
        <v>1</v>
      </c>
      <c r="D67" t="s">
        <v>485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>
        <v>66</v>
      </c>
      <c r="C68">
        <v>1</v>
      </c>
      <c r="D68" t="s">
        <v>486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>
        <v>67</v>
      </c>
      <c r="C69">
        <v>1</v>
      </c>
      <c r="D69" t="s">
        <v>487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>
        <v>68</v>
      </c>
      <c r="C70">
        <v>1</v>
      </c>
      <c r="D70" t="s">
        <v>488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>
        <v>69</v>
      </c>
      <c r="C71">
        <v>1</v>
      </c>
      <c r="D71" t="s">
        <v>489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>
        <v>70</v>
      </c>
      <c r="C72">
        <v>1</v>
      </c>
      <c r="D72" t="s">
        <v>490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>
        <v>71</v>
      </c>
      <c r="C73">
        <v>1</v>
      </c>
      <c r="D73" t="s">
        <v>491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>
        <v>72</v>
      </c>
      <c r="C74">
        <v>1</v>
      </c>
      <c r="D74" t="s">
        <v>492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>
        <v>73</v>
      </c>
      <c r="C75">
        <v>1</v>
      </c>
      <c r="D75" t="s">
        <v>493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>
        <v>74</v>
      </c>
      <c r="C76">
        <v>1</v>
      </c>
      <c r="D76" t="s">
        <v>494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>
        <v>75</v>
      </c>
      <c r="C77">
        <v>1</v>
      </c>
      <c r="D77" t="s">
        <v>495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>
        <v>76</v>
      </c>
      <c r="C78">
        <v>1</v>
      </c>
      <c r="D78" t="s">
        <v>496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>
        <v>77</v>
      </c>
      <c r="C79">
        <v>1</v>
      </c>
      <c r="D79" t="s">
        <v>497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>
        <v>78</v>
      </c>
      <c r="C80">
        <v>1</v>
      </c>
      <c r="D80" t="s">
        <v>498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>
        <v>79</v>
      </c>
      <c r="C81">
        <v>1</v>
      </c>
      <c r="D81" t="s">
        <v>499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>
        <v>80</v>
      </c>
      <c r="C82" s="10">
        <v>1</v>
      </c>
      <c r="D82" s="10" t="s">
        <v>500</v>
      </c>
      <c r="E82" s="10">
        <v>80</v>
      </c>
      <c r="F82" s="10"/>
      <c r="G82" s="10">
        <v>1</v>
      </c>
      <c r="H82" s="10">
        <v>0.05</v>
      </c>
      <c r="I82" s="10"/>
      <c r="J82" s="10"/>
      <c r="K82" s="10">
        <v>0.2</v>
      </c>
      <c r="L82" s="10">
        <f t="shared" si="4"/>
        <v>2.3800000000000003</v>
      </c>
      <c r="M82" s="10">
        <v>7</v>
      </c>
      <c r="N82" s="10">
        <v>0</v>
      </c>
      <c r="O82" s="10"/>
      <c r="P82" s="10"/>
      <c r="Q82" s="10"/>
    </row>
    <row r="83" spans="1:17" x14ac:dyDescent="0.25">
      <c r="A83" s="22">
        <v>170</v>
      </c>
      <c r="B83" s="23">
        <v>170</v>
      </c>
      <c r="C83" s="23">
        <v>1</v>
      </c>
      <c r="D83" s="23" t="s">
        <v>501</v>
      </c>
      <c r="E83" s="23">
        <v>170</v>
      </c>
      <c r="F83" s="23"/>
      <c r="G83" s="23">
        <v>1</v>
      </c>
      <c r="H83" s="23">
        <v>0.05</v>
      </c>
      <c r="I83" s="23"/>
      <c r="J83" s="23"/>
      <c r="K83" s="23">
        <v>0.2</v>
      </c>
      <c r="L83" s="23">
        <f t="shared" si="4"/>
        <v>2.3800000000000003</v>
      </c>
      <c r="M83" s="23">
        <v>7</v>
      </c>
      <c r="N83" s="23">
        <v>0</v>
      </c>
      <c r="O83" s="23"/>
      <c r="P83" s="23"/>
      <c r="Q83" s="2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workbookViewId="0">
      <selection activeCell="S6" sqref="S6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2">
        <v>170</v>
      </c>
      <c r="B83" s="23">
        <v>170</v>
      </c>
      <c r="C83" s="23">
        <v>1</v>
      </c>
      <c r="D83" s="23" t="s">
        <v>598</v>
      </c>
      <c r="E83" s="23">
        <v>170</v>
      </c>
      <c r="F83" s="23">
        <v>0.02</v>
      </c>
      <c r="G83" s="23"/>
      <c r="H83" s="23"/>
      <c r="I83" s="23">
        <v>1</v>
      </c>
      <c r="J83" s="23">
        <v>1</v>
      </c>
      <c r="K83" s="23"/>
      <c r="L83" s="23"/>
      <c r="M83" s="23"/>
      <c r="N83" s="23"/>
      <c r="O83" s="23">
        <v>3.7999999999999999E-2</v>
      </c>
      <c r="P83" s="23"/>
      <c r="Q83" s="23">
        <v>1</v>
      </c>
      <c r="R83" s="23"/>
      <c r="S83" s="23"/>
      <c r="T83" s="23"/>
      <c r="U83" s="2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31E8-5550-4FB1-94EA-4C9FEF4A5D9C}">
  <dimension ref="A1:AB83"/>
  <sheetViews>
    <sheetView topLeftCell="J1" workbookViewId="0">
      <selection activeCell="AI75" sqref="AI75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784</v>
      </c>
      <c r="F1" s="2" t="s">
        <v>785</v>
      </c>
      <c r="G1" s="1" t="s">
        <v>18</v>
      </c>
      <c r="H1" s="1" t="s">
        <v>786</v>
      </c>
      <c r="I1" s="3" t="s">
        <v>787</v>
      </c>
      <c r="J1" s="3" t="s">
        <v>788</v>
      </c>
      <c r="K1" s="3" t="s">
        <v>789</v>
      </c>
      <c r="L1" s="3" t="s">
        <v>790</v>
      </c>
      <c r="M1" s="3" t="s">
        <v>791</v>
      </c>
      <c r="N1" s="3" t="s">
        <v>792</v>
      </c>
      <c r="O1" s="3" t="s">
        <v>419</v>
      </c>
      <c r="P1" s="3" t="s">
        <v>420</v>
      </c>
      <c r="Q1" s="3" t="s">
        <v>599</v>
      </c>
      <c r="R1" s="3" t="s">
        <v>793</v>
      </c>
      <c r="S1" s="3" t="s">
        <v>794</v>
      </c>
      <c r="T1" s="3" t="s">
        <v>795</v>
      </c>
      <c r="U1" s="3" t="s">
        <v>796</v>
      </c>
      <c r="V1" s="3" t="s">
        <v>797</v>
      </c>
      <c r="W1" s="3" t="s">
        <v>798</v>
      </c>
      <c r="X1" s="4" t="s">
        <v>799</v>
      </c>
      <c r="Y1" s="4" t="s">
        <v>800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801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802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803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804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805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806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807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808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809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810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811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812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813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814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815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816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817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818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819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820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821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822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823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824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825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826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827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828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829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830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831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832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833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834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835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836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837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838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839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840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841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842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843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844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845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846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847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848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849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850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851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852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853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854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855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856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857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858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859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860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861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862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863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864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865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866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867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868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869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870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871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872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873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874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875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876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877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878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879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880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881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2">
        <v>170</v>
      </c>
      <c r="B83" s="23">
        <v>170</v>
      </c>
      <c r="C83" s="23">
        <v>1</v>
      </c>
      <c r="D83" s="23" t="s">
        <v>882</v>
      </c>
      <c r="E83" s="23">
        <v>170</v>
      </c>
      <c r="F83" s="23">
        <v>1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>
        <v>1.25</v>
      </c>
      <c r="Y83" s="23">
        <v>0</v>
      </c>
      <c r="Z83" s="23"/>
      <c r="AA83" s="23"/>
      <c r="AB83" s="2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10F6-0727-452B-9DBF-6C27EF4F6C9F}">
  <dimension ref="A1:Z90"/>
  <sheetViews>
    <sheetView topLeftCell="A36" workbookViewId="0">
      <selection activeCell="K9" sqref="K9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7" t="s">
        <v>884</v>
      </c>
      <c r="I1" s="37" t="s">
        <v>885</v>
      </c>
      <c r="J1" s="37" t="s">
        <v>886</v>
      </c>
      <c r="K1" s="37" t="s">
        <v>887</v>
      </c>
      <c r="L1" s="37" t="s">
        <v>888</v>
      </c>
      <c r="M1" s="37" t="s">
        <v>889</v>
      </c>
      <c r="N1" s="37" t="s">
        <v>890</v>
      </c>
      <c r="O1" s="37" t="s">
        <v>891</v>
      </c>
      <c r="P1" s="37" t="s">
        <v>892</v>
      </c>
      <c r="Q1" s="37" t="s">
        <v>893</v>
      </c>
      <c r="R1" s="37" t="s">
        <v>894</v>
      </c>
      <c r="S1" s="37" t="s">
        <v>895</v>
      </c>
      <c r="T1" s="37" t="s">
        <v>896</v>
      </c>
      <c r="U1" s="37" t="s">
        <v>897</v>
      </c>
      <c r="V1" s="37" t="s">
        <v>898</v>
      </c>
      <c r="W1" s="37" t="s">
        <v>411</v>
      </c>
      <c r="X1" s="37" t="s">
        <v>412</v>
      </c>
      <c r="Y1" s="37" t="s">
        <v>23</v>
      </c>
      <c r="Z1" s="37" t="s">
        <v>24</v>
      </c>
    </row>
    <row r="2" spans="1:26" x14ac:dyDescent="0.25">
      <c r="A2" s="14">
        <v>0</v>
      </c>
      <c r="B2">
        <v>0</v>
      </c>
      <c r="C2">
        <v>1</v>
      </c>
      <c r="D2" t="s">
        <v>899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900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901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902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903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904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905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906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907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908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909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910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911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912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913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914</v>
      </c>
      <c r="E17">
        <v>29</v>
      </c>
      <c r="F17">
        <v>96</v>
      </c>
      <c r="G17" s="26">
        <v>782</v>
      </c>
    </row>
    <row r="18" spans="1:16" x14ac:dyDescent="0.25">
      <c r="A18" s="14">
        <v>16</v>
      </c>
      <c r="B18">
        <v>16</v>
      </c>
      <c r="C18">
        <v>1</v>
      </c>
      <c r="D18" t="s">
        <v>915</v>
      </c>
      <c r="E18">
        <v>32</v>
      </c>
      <c r="F18">
        <v>97</v>
      </c>
      <c r="G18" s="26">
        <v>823</v>
      </c>
    </row>
    <row r="19" spans="1:16" x14ac:dyDescent="0.25">
      <c r="A19" s="14">
        <v>17</v>
      </c>
      <c r="B19">
        <v>17</v>
      </c>
      <c r="C19">
        <v>1</v>
      </c>
      <c r="D19" t="s">
        <v>916</v>
      </c>
      <c r="E19">
        <v>11</v>
      </c>
      <c r="F19">
        <v>98</v>
      </c>
      <c r="G19" s="26">
        <v>669</v>
      </c>
    </row>
    <row r="20" spans="1:16" x14ac:dyDescent="0.25">
      <c r="A20" s="14">
        <v>18</v>
      </c>
      <c r="B20">
        <v>18</v>
      </c>
      <c r="C20">
        <v>1</v>
      </c>
      <c r="D20" t="s">
        <v>917</v>
      </c>
      <c r="E20">
        <v>25</v>
      </c>
      <c r="F20">
        <v>99</v>
      </c>
      <c r="G20" s="26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918</v>
      </c>
      <c r="E21">
        <v>17</v>
      </c>
      <c r="F21">
        <v>100</v>
      </c>
      <c r="G21" s="26">
        <v>271</v>
      </c>
    </row>
    <row r="22" spans="1:16" x14ac:dyDescent="0.25">
      <c r="A22" s="14">
        <v>20</v>
      </c>
      <c r="B22">
        <v>20</v>
      </c>
      <c r="C22">
        <v>1</v>
      </c>
      <c r="D22" t="s">
        <v>919</v>
      </c>
      <c r="E22" s="13">
        <v>6</v>
      </c>
      <c r="F22">
        <v>101</v>
      </c>
      <c r="G22" s="26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920</v>
      </c>
      <c r="E23" s="13">
        <v>3</v>
      </c>
      <c r="F23">
        <v>102</v>
      </c>
      <c r="G23" s="26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921</v>
      </c>
      <c r="E24" s="13">
        <v>9</v>
      </c>
      <c r="F24">
        <v>103</v>
      </c>
      <c r="G24" s="26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922</v>
      </c>
      <c r="E25">
        <v>34</v>
      </c>
      <c r="F25">
        <v>104</v>
      </c>
      <c r="G25" s="26">
        <v>95</v>
      </c>
    </row>
    <row r="26" spans="1:16" x14ac:dyDescent="0.25">
      <c r="A26" s="14">
        <v>24</v>
      </c>
      <c r="B26">
        <v>24</v>
      </c>
      <c r="C26">
        <v>1</v>
      </c>
      <c r="D26" t="s">
        <v>923</v>
      </c>
      <c r="E26">
        <v>26</v>
      </c>
      <c r="F26">
        <v>105</v>
      </c>
      <c r="G26" s="26">
        <v>137</v>
      </c>
    </row>
    <row r="27" spans="1:16" x14ac:dyDescent="0.25">
      <c r="A27" s="14">
        <v>25</v>
      </c>
      <c r="B27">
        <v>25</v>
      </c>
      <c r="C27">
        <v>1</v>
      </c>
      <c r="D27" t="s">
        <v>924</v>
      </c>
      <c r="E27">
        <v>22</v>
      </c>
      <c r="F27">
        <v>106</v>
      </c>
      <c r="G27" s="26">
        <v>465</v>
      </c>
    </row>
    <row r="28" spans="1:16" x14ac:dyDescent="0.25">
      <c r="A28" s="14">
        <v>26</v>
      </c>
      <c r="B28">
        <v>26</v>
      </c>
      <c r="C28">
        <v>1</v>
      </c>
      <c r="D28" t="s">
        <v>925</v>
      </c>
      <c r="E28">
        <v>10</v>
      </c>
      <c r="F28">
        <v>107</v>
      </c>
      <c r="G28" s="26">
        <v>37</v>
      </c>
    </row>
    <row r="29" spans="1:16" x14ac:dyDescent="0.25">
      <c r="A29" s="14">
        <v>27</v>
      </c>
      <c r="B29">
        <v>27</v>
      </c>
      <c r="C29">
        <v>1</v>
      </c>
      <c r="D29" t="s">
        <v>926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927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928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929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930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931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932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933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934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935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936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937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938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939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940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941</v>
      </c>
      <c r="E44">
        <v>10</v>
      </c>
      <c r="F44">
        <v>123</v>
      </c>
      <c r="G44">
        <v>4260</v>
      </c>
    </row>
    <row r="45" spans="1:16" x14ac:dyDescent="0.25">
      <c r="A45" s="38">
        <v>43</v>
      </c>
      <c r="B45">
        <v>43</v>
      </c>
      <c r="C45">
        <v>1</v>
      </c>
      <c r="D45" t="s">
        <v>980</v>
      </c>
      <c r="E45">
        <v>28</v>
      </c>
      <c r="F45">
        <v>124</v>
      </c>
      <c r="G45">
        <v>760</v>
      </c>
    </row>
    <row r="46" spans="1:16" x14ac:dyDescent="0.25">
      <c r="A46" s="38">
        <v>44</v>
      </c>
      <c r="B46">
        <v>44</v>
      </c>
      <c r="C46">
        <v>1</v>
      </c>
      <c r="D46" t="s">
        <v>981</v>
      </c>
      <c r="E46">
        <v>28</v>
      </c>
      <c r="F46">
        <v>125</v>
      </c>
      <c r="G46">
        <v>760</v>
      </c>
    </row>
    <row r="47" spans="1:16" x14ac:dyDescent="0.25">
      <c r="A47" s="14">
        <v>45</v>
      </c>
      <c r="B47">
        <v>45</v>
      </c>
      <c r="C47">
        <v>1</v>
      </c>
      <c r="D47" t="s">
        <v>942</v>
      </c>
      <c r="E47">
        <v>12</v>
      </c>
      <c r="F47">
        <v>126</v>
      </c>
      <c r="G47">
        <v>759</v>
      </c>
    </row>
    <row r="48" spans="1:16" x14ac:dyDescent="0.25">
      <c r="A48" s="14">
        <v>46</v>
      </c>
      <c r="B48">
        <v>46</v>
      </c>
      <c r="C48">
        <v>1</v>
      </c>
      <c r="D48" t="s">
        <v>943</v>
      </c>
      <c r="E48">
        <v>12</v>
      </c>
      <c r="F48">
        <v>127</v>
      </c>
      <c r="G48">
        <v>756</v>
      </c>
    </row>
    <row r="49" spans="1:7" x14ac:dyDescent="0.25">
      <c r="A49" s="14">
        <v>47</v>
      </c>
      <c r="B49">
        <v>47</v>
      </c>
      <c r="C49">
        <v>1</v>
      </c>
      <c r="D49" t="s">
        <v>944</v>
      </c>
      <c r="E49">
        <v>12</v>
      </c>
      <c r="F49">
        <v>128</v>
      </c>
      <c r="G49">
        <v>700</v>
      </c>
    </row>
    <row r="50" spans="1:7" x14ac:dyDescent="0.25">
      <c r="A50" s="14">
        <v>48</v>
      </c>
      <c r="B50">
        <v>48</v>
      </c>
      <c r="C50">
        <v>1</v>
      </c>
      <c r="D50" t="s">
        <v>945</v>
      </c>
      <c r="E50">
        <v>12</v>
      </c>
      <c r="F50">
        <v>129</v>
      </c>
      <c r="G50">
        <v>580</v>
      </c>
    </row>
    <row r="51" spans="1:7" x14ac:dyDescent="0.25">
      <c r="A51" s="14">
        <v>49</v>
      </c>
      <c r="B51">
        <v>49</v>
      </c>
      <c r="C51">
        <v>1</v>
      </c>
      <c r="D51" t="s">
        <v>946</v>
      </c>
      <c r="E51">
        <v>11</v>
      </c>
      <c r="F51">
        <v>130</v>
      </c>
      <c r="G51">
        <v>752</v>
      </c>
    </row>
    <row r="52" spans="1:7" x14ac:dyDescent="0.25">
      <c r="A52" s="14">
        <v>50</v>
      </c>
      <c r="B52">
        <v>50</v>
      </c>
      <c r="C52">
        <v>1</v>
      </c>
      <c r="D52" t="s">
        <v>947</v>
      </c>
      <c r="E52">
        <v>11</v>
      </c>
      <c r="F52">
        <v>131</v>
      </c>
      <c r="G52">
        <v>731.5</v>
      </c>
    </row>
    <row r="53" spans="1:7" x14ac:dyDescent="0.25">
      <c r="A53" s="14">
        <v>51</v>
      </c>
      <c r="B53">
        <v>51</v>
      </c>
      <c r="C53">
        <v>1</v>
      </c>
      <c r="D53" t="s">
        <v>948</v>
      </c>
      <c r="E53">
        <v>11</v>
      </c>
      <c r="F53">
        <v>132</v>
      </c>
      <c r="G53">
        <v>19</v>
      </c>
    </row>
    <row r="54" spans="1:7" x14ac:dyDescent="0.25">
      <c r="A54" s="38">
        <v>52</v>
      </c>
      <c r="B54">
        <v>52</v>
      </c>
      <c r="C54">
        <v>1</v>
      </c>
      <c r="D54" t="s">
        <v>982</v>
      </c>
      <c r="E54">
        <v>28</v>
      </c>
      <c r="F54">
        <v>133</v>
      </c>
      <c r="G54">
        <v>2000</v>
      </c>
    </row>
    <row r="55" spans="1:7" x14ac:dyDescent="0.25">
      <c r="A55" s="38">
        <v>53</v>
      </c>
      <c r="B55">
        <v>53</v>
      </c>
      <c r="C55">
        <v>1</v>
      </c>
      <c r="D55" t="s">
        <v>983</v>
      </c>
      <c r="E55">
        <v>11</v>
      </c>
      <c r="F55">
        <v>134</v>
      </c>
      <c r="G55">
        <v>2000</v>
      </c>
    </row>
    <row r="56" spans="1:7" x14ac:dyDescent="0.25">
      <c r="A56" s="38">
        <v>54</v>
      </c>
      <c r="B56">
        <v>54</v>
      </c>
      <c r="C56">
        <v>1</v>
      </c>
      <c r="D56" t="s">
        <v>984</v>
      </c>
      <c r="E56">
        <v>28</v>
      </c>
      <c r="F56">
        <v>135</v>
      </c>
      <c r="G56">
        <v>2000</v>
      </c>
    </row>
    <row r="57" spans="1:7" x14ac:dyDescent="0.25">
      <c r="A57" s="38">
        <v>55</v>
      </c>
      <c r="B57">
        <v>55</v>
      </c>
      <c r="C57">
        <v>1</v>
      </c>
      <c r="D57" t="s">
        <v>985</v>
      </c>
      <c r="E57">
        <v>22</v>
      </c>
      <c r="F57">
        <v>136</v>
      </c>
      <c r="G57">
        <v>3000</v>
      </c>
    </row>
    <row r="58" spans="1:7" x14ac:dyDescent="0.25">
      <c r="A58" s="38">
        <v>56</v>
      </c>
      <c r="B58">
        <v>56</v>
      </c>
      <c r="C58">
        <v>1</v>
      </c>
      <c r="D58" t="s">
        <v>986</v>
      </c>
      <c r="E58">
        <v>22</v>
      </c>
      <c r="F58">
        <v>137</v>
      </c>
      <c r="G58">
        <v>3000</v>
      </c>
    </row>
    <row r="59" spans="1:7" x14ac:dyDescent="0.25">
      <c r="A59" s="38">
        <v>57</v>
      </c>
      <c r="B59">
        <v>57</v>
      </c>
      <c r="C59">
        <v>1</v>
      </c>
      <c r="D59" t="s">
        <v>987</v>
      </c>
      <c r="E59">
        <v>21</v>
      </c>
      <c r="F59">
        <v>138</v>
      </c>
      <c r="G59">
        <v>4000</v>
      </c>
    </row>
    <row r="60" spans="1:7" x14ac:dyDescent="0.25">
      <c r="A60" s="14">
        <v>58</v>
      </c>
      <c r="B60">
        <v>58</v>
      </c>
      <c r="C60">
        <v>1</v>
      </c>
      <c r="D60" t="s">
        <v>949</v>
      </c>
      <c r="E60">
        <v>51</v>
      </c>
      <c r="F60">
        <v>139</v>
      </c>
      <c r="G60">
        <v>80</v>
      </c>
    </row>
    <row r="61" spans="1:7" x14ac:dyDescent="0.25">
      <c r="A61" s="14">
        <v>59</v>
      </c>
      <c r="B61">
        <v>59</v>
      </c>
      <c r="C61">
        <v>1</v>
      </c>
      <c r="D61" t="s">
        <v>950</v>
      </c>
      <c r="E61">
        <v>25</v>
      </c>
      <c r="F61">
        <v>140</v>
      </c>
      <c r="G61">
        <v>60</v>
      </c>
    </row>
    <row r="62" spans="1:7" x14ac:dyDescent="0.25">
      <c r="A62" s="14">
        <v>60</v>
      </c>
      <c r="B62">
        <v>60</v>
      </c>
      <c r="C62">
        <v>1</v>
      </c>
      <c r="D62" t="s">
        <v>951</v>
      </c>
      <c r="E62">
        <v>47</v>
      </c>
      <c r="F62">
        <v>141</v>
      </c>
      <c r="G62">
        <v>50</v>
      </c>
    </row>
    <row r="63" spans="1:7" x14ac:dyDescent="0.25">
      <c r="A63" s="14">
        <v>61</v>
      </c>
      <c r="B63">
        <v>61</v>
      </c>
      <c r="C63">
        <v>1</v>
      </c>
      <c r="D63" t="s">
        <v>952</v>
      </c>
      <c r="E63">
        <v>47</v>
      </c>
      <c r="F63">
        <v>142</v>
      </c>
      <c r="G63">
        <v>89</v>
      </c>
    </row>
    <row r="64" spans="1:7" x14ac:dyDescent="0.25">
      <c r="A64" s="14">
        <v>62</v>
      </c>
      <c r="B64">
        <v>62</v>
      </c>
      <c r="C64">
        <v>1</v>
      </c>
      <c r="D64" t="s">
        <v>953</v>
      </c>
      <c r="E64">
        <v>25</v>
      </c>
      <c r="F64">
        <v>143</v>
      </c>
      <c r="G64">
        <v>55</v>
      </c>
    </row>
    <row r="65" spans="1:16" x14ac:dyDescent="0.25">
      <c r="A65" s="14">
        <v>63</v>
      </c>
      <c r="B65">
        <v>63</v>
      </c>
      <c r="C65">
        <v>1</v>
      </c>
      <c r="D65" t="s">
        <v>954</v>
      </c>
      <c r="E65">
        <v>25</v>
      </c>
      <c r="F65">
        <v>144</v>
      </c>
      <c r="G65">
        <v>148</v>
      </c>
    </row>
    <row r="66" spans="1:16" x14ac:dyDescent="0.25">
      <c r="A66" s="14">
        <v>64</v>
      </c>
      <c r="B66">
        <v>64</v>
      </c>
      <c r="C66">
        <v>1</v>
      </c>
      <c r="D66" t="s">
        <v>955</v>
      </c>
      <c r="E66">
        <v>46</v>
      </c>
      <c r="F66">
        <v>145</v>
      </c>
      <c r="G66">
        <v>50</v>
      </c>
    </row>
    <row r="67" spans="1:16" x14ac:dyDescent="0.25">
      <c r="A67" s="14">
        <v>65</v>
      </c>
      <c r="B67">
        <v>65</v>
      </c>
      <c r="C67">
        <v>1</v>
      </c>
      <c r="D67" t="s">
        <v>956</v>
      </c>
      <c r="E67">
        <v>16</v>
      </c>
      <c r="F67">
        <v>146</v>
      </c>
      <c r="G67">
        <v>80</v>
      </c>
    </row>
    <row r="68" spans="1:16" x14ac:dyDescent="0.25">
      <c r="A68" s="14">
        <v>66</v>
      </c>
      <c r="B68">
        <v>66</v>
      </c>
      <c r="C68">
        <v>1</v>
      </c>
      <c r="D68" t="s">
        <v>957</v>
      </c>
      <c r="E68">
        <v>45</v>
      </c>
      <c r="F68">
        <v>147</v>
      </c>
      <c r="G68">
        <v>61</v>
      </c>
    </row>
    <row r="69" spans="1:16" x14ac:dyDescent="0.25">
      <c r="A69" s="14">
        <v>67</v>
      </c>
      <c r="B69">
        <v>67</v>
      </c>
      <c r="C69">
        <v>1</v>
      </c>
      <c r="D69" t="s">
        <v>958</v>
      </c>
      <c r="E69">
        <v>23</v>
      </c>
      <c r="F69">
        <v>148</v>
      </c>
      <c r="G69">
        <v>74</v>
      </c>
    </row>
    <row r="70" spans="1:16" x14ac:dyDescent="0.25">
      <c r="A70" s="14">
        <v>68</v>
      </c>
      <c r="B70">
        <v>68</v>
      </c>
      <c r="C70">
        <v>1</v>
      </c>
      <c r="D70" t="s">
        <v>959</v>
      </c>
      <c r="E70">
        <v>23</v>
      </c>
      <c r="F70">
        <v>149</v>
      </c>
      <c r="G70">
        <v>55</v>
      </c>
    </row>
    <row r="71" spans="1:16" x14ac:dyDescent="0.25">
      <c r="A71" s="14">
        <v>69</v>
      </c>
      <c r="B71">
        <v>69</v>
      </c>
      <c r="C71">
        <v>1</v>
      </c>
      <c r="D71" t="s">
        <v>960</v>
      </c>
      <c r="E71">
        <v>20</v>
      </c>
      <c r="F71">
        <v>150</v>
      </c>
      <c r="G71">
        <v>55</v>
      </c>
    </row>
    <row r="72" spans="1:16" x14ac:dyDescent="0.25">
      <c r="A72" s="14">
        <v>70</v>
      </c>
      <c r="B72">
        <v>70</v>
      </c>
      <c r="C72">
        <v>1</v>
      </c>
      <c r="D72" t="s">
        <v>961</v>
      </c>
      <c r="E72">
        <v>19</v>
      </c>
      <c r="F72">
        <v>151</v>
      </c>
      <c r="G72">
        <v>75</v>
      </c>
    </row>
    <row r="73" spans="1:16" x14ac:dyDescent="0.25">
      <c r="A73" s="14">
        <v>71</v>
      </c>
      <c r="B73">
        <v>71</v>
      </c>
      <c r="C73">
        <v>1</v>
      </c>
      <c r="D73" t="s">
        <v>962</v>
      </c>
      <c r="E73">
        <v>30</v>
      </c>
      <c r="F73">
        <v>152</v>
      </c>
      <c r="G73">
        <v>54</v>
      </c>
    </row>
    <row r="74" spans="1:16" x14ac:dyDescent="0.25">
      <c r="A74" s="14">
        <v>72</v>
      </c>
      <c r="B74">
        <v>72</v>
      </c>
      <c r="C74">
        <v>1</v>
      </c>
      <c r="D74" t="s">
        <v>963</v>
      </c>
      <c r="E74" s="13">
        <v>9</v>
      </c>
      <c r="F74">
        <v>153</v>
      </c>
      <c r="G74">
        <v>65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73</v>
      </c>
      <c r="B75">
        <v>73</v>
      </c>
      <c r="C75">
        <v>1</v>
      </c>
      <c r="D75" t="s">
        <v>964</v>
      </c>
      <c r="E75">
        <v>50</v>
      </c>
      <c r="F75">
        <v>154</v>
      </c>
      <c r="G75">
        <v>62</v>
      </c>
    </row>
    <row r="76" spans="1:16" x14ac:dyDescent="0.25">
      <c r="A76" s="14">
        <v>74</v>
      </c>
      <c r="B76">
        <v>74</v>
      </c>
      <c r="C76">
        <v>1</v>
      </c>
      <c r="D76" t="s">
        <v>965</v>
      </c>
      <c r="E76">
        <v>27</v>
      </c>
      <c r="F76">
        <v>155</v>
      </c>
      <c r="G76">
        <v>94</v>
      </c>
    </row>
    <row r="77" spans="1:16" x14ac:dyDescent="0.25">
      <c r="A77" s="14">
        <v>75</v>
      </c>
      <c r="B77">
        <v>75</v>
      </c>
      <c r="C77">
        <v>1</v>
      </c>
      <c r="D77" t="s">
        <v>966</v>
      </c>
      <c r="E77">
        <v>20</v>
      </c>
      <c r="F77">
        <v>156</v>
      </c>
      <c r="G77">
        <v>96</v>
      </c>
    </row>
    <row r="78" spans="1:16" x14ac:dyDescent="0.25">
      <c r="A78" s="14">
        <v>76</v>
      </c>
      <c r="B78">
        <v>76</v>
      </c>
      <c r="C78">
        <v>1</v>
      </c>
      <c r="D78" t="s">
        <v>967</v>
      </c>
      <c r="E78">
        <v>27</v>
      </c>
      <c r="F78">
        <v>157</v>
      </c>
      <c r="G78">
        <v>86</v>
      </c>
    </row>
    <row r="79" spans="1:16" x14ac:dyDescent="0.25">
      <c r="A79" s="14">
        <v>77</v>
      </c>
      <c r="B79">
        <v>77</v>
      </c>
      <c r="C79">
        <v>1</v>
      </c>
      <c r="D79" t="s">
        <v>968</v>
      </c>
      <c r="E79">
        <v>47</v>
      </c>
      <c r="F79">
        <v>158</v>
      </c>
      <c r="G79">
        <v>132</v>
      </c>
    </row>
    <row r="80" spans="1:16" x14ac:dyDescent="0.25">
      <c r="A80" s="14">
        <v>78</v>
      </c>
      <c r="B80">
        <v>78</v>
      </c>
      <c r="C80">
        <v>1</v>
      </c>
      <c r="D80" t="s">
        <v>969</v>
      </c>
      <c r="E80">
        <v>48</v>
      </c>
      <c r="F80">
        <v>159</v>
      </c>
      <c r="G80">
        <v>65</v>
      </c>
    </row>
    <row r="81" spans="1:16" x14ac:dyDescent="0.25">
      <c r="A81" s="14">
        <v>79</v>
      </c>
      <c r="B81">
        <v>79</v>
      </c>
      <c r="C81">
        <v>1</v>
      </c>
      <c r="D81" t="s">
        <v>970</v>
      </c>
      <c r="E81">
        <v>27</v>
      </c>
      <c r="F81">
        <v>160</v>
      </c>
      <c r="G81">
        <v>116</v>
      </c>
    </row>
    <row r="82" spans="1:16" x14ac:dyDescent="0.25">
      <c r="A82" s="14">
        <v>80</v>
      </c>
      <c r="B82">
        <v>80</v>
      </c>
      <c r="C82">
        <v>1</v>
      </c>
      <c r="D82" t="s">
        <v>971</v>
      </c>
      <c r="E82" s="13">
        <v>9</v>
      </c>
      <c r="F82">
        <v>161</v>
      </c>
      <c r="G82">
        <v>63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  <row r="83" spans="1:16" x14ac:dyDescent="0.25">
      <c r="A83" s="14">
        <v>81</v>
      </c>
      <c r="B83">
        <v>81</v>
      </c>
      <c r="C83">
        <v>1</v>
      </c>
      <c r="D83" t="s">
        <v>972</v>
      </c>
      <c r="E83">
        <v>48</v>
      </c>
      <c r="F83">
        <v>162</v>
      </c>
      <c r="G83">
        <v>58</v>
      </c>
    </row>
    <row r="84" spans="1:16" x14ac:dyDescent="0.25">
      <c r="A84" s="14">
        <v>82</v>
      </c>
      <c r="B84">
        <v>82</v>
      </c>
      <c r="C84">
        <v>1</v>
      </c>
      <c r="D84" t="s">
        <v>973</v>
      </c>
      <c r="E84">
        <v>20</v>
      </c>
      <c r="F84">
        <v>163</v>
      </c>
      <c r="G84">
        <v>115</v>
      </c>
    </row>
    <row r="85" spans="1:16" x14ac:dyDescent="0.25">
      <c r="A85" s="14">
        <v>83</v>
      </c>
      <c r="B85">
        <v>83</v>
      </c>
      <c r="C85">
        <v>1</v>
      </c>
      <c r="D85" t="s">
        <v>974</v>
      </c>
      <c r="E85" s="13">
        <v>5</v>
      </c>
      <c r="F85">
        <v>164</v>
      </c>
      <c r="G85">
        <v>108</v>
      </c>
      <c r="J85" s="5">
        <f>1*220/380</f>
        <v>0.57894736842105265</v>
      </c>
      <c r="K85" s="5">
        <f>0.5*220/380</f>
        <v>0.28947368421052633</v>
      </c>
      <c r="N85" s="5">
        <f>1.2*220/380</f>
        <v>0.69473684210526321</v>
      </c>
      <c r="O85" s="5">
        <f>0.8*220/380</f>
        <v>0.4631578947368421</v>
      </c>
      <c r="P85" s="5">
        <f>0.4*220/380</f>
        <v>0.23157894736842105</v>
      </c>
    </row>
    <row r="86" spans="1:16" x14ac:dyDescent="0.25">
      <c r="A86" s="14">
        <v>84</v>
      </c>
      <c r="B86">
        <v>84</v>
      </c>
      <c r="C86">
        <v>1</v>
      </c>
      <c r="D86" t="s">
        <v>975</v>
      </c>
      <c r="E86" s="13">
        <v>3</v>
      </c>
      <c r="F86">
        <v>165</v>
      </c>
      <c r="G86">
        <v>53</v>
      </c>
      <c r="J86" s="5">
        <f>1*220/380</f>
        <v>0.57894736842105265</v>
      </c>
      <c r="K86" s="5">
        <f>0.5*220/380</f>
        <v>0.28947368421052633</v>
      </c>
      <c r="N86" s="5">
        <f>1.2*220/380</f>
        <v>0.69473684210526321</v>
      </c>
      <c r="O86" s="5">
        <f>0.8*220/380</f>
        <v>0.4631578947368421</v>
      </c>
      <c r="P86" s="5">
        <f>0.4*220/380</f>
        <v>0.23157894736842105</v>
      </c>
    </row>
    <row r="87" spans="1:16" x14ac:dyDescent="0.25">
      <c r="A87" s="14">
        <v>85</v>
      </c>
      <c r="B87">
        <v>85</v>
      </c>
      <c r="C87">
        <v>1</v>
      </c>
      <c r="D87" t="s">
        <v>976</v>
      </c>
      <c r="E87">
        <v>19</v>
      </c>
      <c r="F87">
        <v>166</v>
      </c>
      <c r="G87">
        <v>58</v>
      </c>
    </row>
    <row r="88" spans="1:16" x14ac:dyDescent="0.25">
      <c r="A88" s="14">
        <v>86</v>
      </c>
      <c r="B88">
        <v>86</v>
      </c>
      <c r="C88">
        <v>1</v>
      </c>
      <c r="D88" t="s">
        <v>977</v>
      </c>
      <c r="E88">
        <v>31</v>
      </c>
      <c r="F88">
        <v>167</v>
      </c>
      <c r="G88">
        <v>62</v>
      </c>
    </row>
    <row r="89" spans="1:16" x14ac:dyDescent="0.25">
      <c r="A89" s="14">
        <v>87</v>
      </c>
      <c r="B89">
        <v>87</v>
      </c>
      <c r="C89">
        <v>1</v>
      </c>
      <c r="D89" t="s">
        <v>978</v>
      </c>
      <c r="E89">
        <v>31</v>
      </c>
      <c r="F89">
        <v>168</v>
      </c>
      <c r="G89">
        <v>136</v>
      </c>
    </row>
    <row r="90" spans="1:16" x14ac:dyDescent="0.25">
      <c r="A90" s="17">
        <v>88</v>
      </c>
      <c r="B90" s="10">
        <v>88</v>
      </c>
      <c r="C90" s="10">
        <v>1</v>
      </c>
      <c r="D90" s="10" t="s">
        <v>979</v>
      </c>
      <c r="E90" s="13">
        <v>8</v>
      </c>
      <c r="F90" s="10">
        <v>169</v>
      </c>
      <c r="G90" s="10">
        <v>59</v>
      </c>
      <c r="J90" s="5">
        <f>1*220/380</f>
        <v>0.57894736842105265</v>
      </c>
      <c r="K90" s="5">
        <f>0.5*220/380</f>
        <v>0.28947368421052633</v>
      </c>
      <c r="N90" s="5">
        <f>1.2*220/380</f>
        <v>0.69473684210526321</v>
      </c>
      <c r="O90" s="5">
        <f>0.8*220/380</f>
        <v>0.4631578947368421</v>
      </c>
      <c r="P90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0821-79EF-4693-9F40-799CD523BE83}">
  <dimension ref="A1:H55"/>
  <sheetViews>
    <sheetView topLeftCell="A21" workbookViewId="0">
      <selection activeCell="K48" sqref="K48"/>
    </sheetView>
  </sheetViews>
  <sheetFormatPr defaultRowHeight="15" x14ac:dyDescent="0.25"/>
  <sheetData>
    <row r="1" spans="1:8" x14ac:dyDescent="0.25">
      <c r="A1" s="1" t="s">
        <v>13</v>
      </c>
      <c r="B1" s="1" t="s">
        <v>0</v>
      </c>
      <c r="C1" s="1" t="s">
        <v>1</v>
      </c>
      <c r="D1" s="1" t="s">
        <v>2</v>
      </c>
      <c r="E1" s="14" t="s">
        <v>14</v>
      </c>
      <c r="F1" s="20" t="s">
        <v>413</v>
      </c>
      <c r="G1" s="20" t="s">
        <v>414</v>
      </c>
      <c r="H1" s="14" t="s">
        <v>27</v>
      </c>
    </row>
    <row r="2" spans="1:8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8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8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8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8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8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8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8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8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8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H11">
        <v>50</v>
      </c>
    </row>
    <row r="12" spans="1:8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8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8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8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8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2026-01-08T23:00:56Z</dcterms:modified>
</cp:coreProperties>
</file>