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HPvanRhee_MScThesis_Documentation\PFlow_models_2035\"/>
    </mc:Choice>
  </mc:AlternateContent>
  <xr:revisionPtr revIDLastSave="0" documentId="13_ncr:1_{19B340C4-D103-4A1E-8A8F-94C5E69D33F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3" i="3" l="1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1" i="3"/>
  <c r="M74" i="3"/>
  <c r="K74" i="3"/>
  <c r="T126" i="5" l="1"/>
  <c r="T125" i="5"/>
  <c r="T124" i="5"/>
  <c r="T123" i="5"/>
  <c r="K76" i="5"/>
  <c r="K75" i="5"/>
  <c r="K74" i="5"/>
  <c r="K73" i="5"/>
  <c r="K72" i="5"/>
  <c r="K71" i="5"/>
  <c r="K64" i="5"/>
  <c r="K63" i="5"/>
  <c r="K62" i="5"/>
  <c r="K61" i="5"/>
  <c r="K57" i="5"/>
  <c r="K56" i="5"/>
  <c r="K55" i="5"/>
  <c r="K54" i="5"/>
  <c r="K44" i="5"/>
  <c r="K43" i="5"/>
  <c r="K36" i="5"/>
  <c r="K35" i="5"/>
  <c r="N2" i="4"/>
  <c r="M2" i="4"/>
  <c r="L2" i="4"/>
  <c r="K2" i="4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5" i="3"/>
  <c r="M76" i="3"/>
  <c r="M77" i="3"/>
  <c r="M78" i="3"/>
  <c r="M79" i="3"/>
  <c r="M80" i="3"/>
  <c r="M81" i="3"/>
  <c r="M82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83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I10" i="3"/>
  <c r="I8" i="3"/>
  <c r="I9" i="3"/>
  <c r="I3" i="3"/>
  <c r="I4" i="3"/>
  <c r="I5" i="3"/>
  <c r="I6" i="3"/>
  <c r="I7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26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<sst xmlns="http://schemas.openxmlformats.org/spreadsheetml/2006/main" count="607" uniqueCount="494">
  <si>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</si>
  <si>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</si>
  <si>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</si>
  <si>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</si>
  <si>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</si>
  <si>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</si>
  <si>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</si>
  <si>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</si>
  <si>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</si>
  <si>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</si>
  <si>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</si>
  <si>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</si>
  <si>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</si>
  <si>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</si>
  <si>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</si>
  <si>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</si>
  <si>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</si>
  <si>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</si>
  <si>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</si>
  <si>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</si>
  <si>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</si>
  <si>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</si>
  <si>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</si>
  <si>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</si>
  <si>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</si>
  <si>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</si>
  <si>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</si>
  <si>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</si>
  <si>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</si>
  <si>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</si>
  <si>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</si>
  <si>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</si>
  <si>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</si>
  <si>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</si>
  <si>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</si>
  <si>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</si>
  <si>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</si>
  <si>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</si>
  <si>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</si>
  <si>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</si>
  <si>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</si>
  <si>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</si>
  <si>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</si>
  <si>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</si>
  <si>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</si>
  <si>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</si>
  <si>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</si>
  <si>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</si>
  <si>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</si>
  <si>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</si>
  <si>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</si>
  <si>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</si>
  <si>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</si>
  <si>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</si>
  <si>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</si>
  <si>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</si>
  <si>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</si>
  <si>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</si>
  <si>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</si>
  <si>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</si>
  <si>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</si>
  <si>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</si>
  <si>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</si>
  <si>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</si>
  <si>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</si>
  <si>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</si>
  <si>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</si>
  <si>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</si>
  <si>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</si>
  <si>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</si>
  <si>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</si>
  <si>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</si>
  <si>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</si>
  <si>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</si>
  <si>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</si>
  <si>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</si>
  <si>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</si>
  <si>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</si>
  <si>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</si>
  <si>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</si>
  <si>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</si>
  <si>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</si>
  <si>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</si>
  <si>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</si>
  <si>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</si>
  <si>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</si>
  <si>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</si>
  <si>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</si>
  <si>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</si>
  <si>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</si>
  <si>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</si>
  <si>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</si>
  <si>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</si>
  <si>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</si>
  <si>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</si>
  <si>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</si>
  <si>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</si>
  <si>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</si>
  <si>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</si>
  <si>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</si>
  <si>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</si>
  <si>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</si>
  <si>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</si>
  <si>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</si>
  <si>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</si>
  <si>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</si>
  <si>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</si>
  <si>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</si>
  <si>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</si>
  <si>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</si>
  <si>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</si>
  <si>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</si>
  <si>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</si>
  <si>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</si>
  <si>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</si>
  <si>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</si>
  <si>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</si>
  <si>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</si>
  <si>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</si>
  <si>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</si>
  <si>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</si>
  <si>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</si>
  <si>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</si>
  <si>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</si>
  <si>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</si>
  <si>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</si>
  <si>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</si>
  <si>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</si>
  <si>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</si>
  <si>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</si>
  <si>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</si>
  <si>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</si>
  <si>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</si>
  <si>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</si>
  <si>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</si>
  <si>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</si>
  <si>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</si>
  <si>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</si>
  <si>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</si>
  <si>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</si>
  <si>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</si>
  <si>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</si>
  <si>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</si>
  <si>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</si>
  <si>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</si>
  <si>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</si>
  <si>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</si>
  <si>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</si>
  <si>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</si>
  <si>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</si>
  <si>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</si>
  <si>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</si>
  <si>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</si>
  <si>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</si>
  <si>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</si>
  <si>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</si>
  <si>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</si>
  <si>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</si>
  <si>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</si>
  <si>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</si>
  <si>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</si>
  <si>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</si>
  <si>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</si>
  <si>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</si>
  <si>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</si>
  <si>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</si>
  <si>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</si>
  <si>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</si>
  <si>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</si>
  <si>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</si>
  <si>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</si>
  <si>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</si>
  <si>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</si>
  <si>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</si>
  <si>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</si>
  <si>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</si>
  <si>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</si>
  <si>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</si>
  <si>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</si>
  <si>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</si>
  <si>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</si>
  <si>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</si>
  <si>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</si>
  <si>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</si>
  <si>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</si>
  <si>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</si>
  <si>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</si>
  <si>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</si>
  <si>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</si>
  <si>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</si>
  <si>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</si>
  <si>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</si>
  <si>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</si>
  <si>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</si>
  <si>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</si>
  <si>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</si>
  <si>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</si>
  <si>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</si>
  <si>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</si>
  <si>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</si>
  <si>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</si>
  <si>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</si>
  <si>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</si>
  <si>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</si>
  <si>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</si>
  <si>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</si>
  <si>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</si>
  <si>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</si>
  <si>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</si>
  <si>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</si>
  <si>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</si>
  <si>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</si>
  <si>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</si>
  <si>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</si>
  <si>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</si>
  <si>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</si>
  <si>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</si>
  <si>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</si>
  <si>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</si>
  <si>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</si>
  <si>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</si>
  <si>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</si>
  <si>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</si>
  <si>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</si>
  <si>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</si>
  <si>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</si>
  <si>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</si>
  <si>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</si>
  <si>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</si>
  <si>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</si>
  <si>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</si>
  <si>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</si>
  <si>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</si>
  <si>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</si>
  <si>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</si>
  <si>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</si>
  <si>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</si>
  <si>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</si>
  <si>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</si>
  <si>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</si>
  <si>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</si>
  <si>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</si>
  <si>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</si>
  <si>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</si>
  <si>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</si>
  <si>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</si>
  <si>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</si>
  <si>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</si>
  <si>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</si>
  <si>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</si>
  <si>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</si>
  <si>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</si>
  <si>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</si>
  <si>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</si>
  <si>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</si>
  <si>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</si>
  <si>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</si>
  <si>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</si>
  <si>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</si>
  <si>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</si>
  <si>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</si>
  <si>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</si>
  <si>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</si>
  <si>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</si>
  <si>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</si>
  <si>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</si>
  <si>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</si>
  <si>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</si>
  <si>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</si>
  <si>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</si>
  <si>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</si>
  <si>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</si>
  <si>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</si>
  <si>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</si>
  <si>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</si>
  <si>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</si>
  <si>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</si>
  <si>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</si>
  <si>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</si>
  <si>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</si>
  <si>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</si>
  <si>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</si>
  <si>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</si>
  <si>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</si>
  <si>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</si>
  <si>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</si>
  <si>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</si>
  <si>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</si>
  <si>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</si>
  <si>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</si>
  <si>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</si>
  <si>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</si>
  <si>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</si>
  <si>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</si>
  <si>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</si>
  <si>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</si>
  <si>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</si>
  <si>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</si>
  <si>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</si>
  <si>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</si>
  <si>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</si>
  <si>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</si>
  <si>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</si>
  <si>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</si>
  <si>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</si>
  <si>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</si>
  <si>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</si>
  <si>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</si>
  <si>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</si>
  <si>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</si>
  <si>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</si>
  <si>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</si>
  <si>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</si>
  <si>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</si>
  <si>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</si>
  <si>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</si>
  <si>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</si>
  <si>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</si>
  <si>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</si>
  <si>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</si>
  <si>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</si>
  <si>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</si>
  <si>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</si>
  <si>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</si>
  <si>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</si>
  <si>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</si>
  <si>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</si>
  <si>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</si>
  <si>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</si>
  <si>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</si>
  <si>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</si>
  <si>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</si>
  <si>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</si>
  <si>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</si>
  <si>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</si>
  <si>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</si>
  <si>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</si>
  <si>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</si>
  <si>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</si>
  <si>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</si>
  <si>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</si>
  <si>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</si>
  <si>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</si>
  <si>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</si>
  <si>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</si>
  <si>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</si>
  <si>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</si>
  <si>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</si>
  <si>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</si>
  <si>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</si>
  <si>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</si>
  <si>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</si>
  <si>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</si>
  <si>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</si>
  <si>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</si>
  <si>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</si>
  <si>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</si>
  <si>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</si>
  <si>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</si>
  <si>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</si>
  <si>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</si>
  <si>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</si>
  <si>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</si>
  <si>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</si>
  <si>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</si>
  <si>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</si>
  <si>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</si>
  <si>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</si>
  <si>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</si>
  <si>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</si>
  <si>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</si>
  <si>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</si>
  <si>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</si>
  <si>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</si>
  <si>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</si>
  <si>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</si>
  <si>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</si>
  <si>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</si>
  <si>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</si>
  <si>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</si>
  <si>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</si>
  <si>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</si>
  <si>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</si>
  <si>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</si>
  <si>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</si>
  <si>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</si>
  <si>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</si>
  <si>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</si>
  <si>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</si>
  <si>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</si>
  <si>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</si>
  <si>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</si>
  <si>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</si>
  <si>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</si>
  <si>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</si>
  <si>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</si>
  <si>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</si>
  <si>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</si>
  <si>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</si>
  <si>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</si>
  <si>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</si>
  <si>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</si>
  <si>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</si>
  <si>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</si>
  <si>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</si>
  <si>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</si>
  <si>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</si>
  <si>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</si>
  <si>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</si>
  <si>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</si>
  <si>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</si>
  <si>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</si>
  <si>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</si>
  <si>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</si>
  <si>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</si>
  <si>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</si>
  <si>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</si>
  <si>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</si>
  <si>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</si>
  <si>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</si>
  <si>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</si>
  <si>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</si>
  <si>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</si>
  <si>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</si>
  <si>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</si>
  <si>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</si>
  <si>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</si>
  <si>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</si>
  <si>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</si>
  <si>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</si>
  <si>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</si>
  <si>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</si>
  <si>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</si>
  <si>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</si>
  <si>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</si>
  <si>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</si>
  <si>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</si>
  <si>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</si>
  <si>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</si>
  <si>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</si>
  <si>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</si>
  <si>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</si>
  <si>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</si>
  <si>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</si>
  <si>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</si>
  <si>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</si>
  <si>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</si>
  <si>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</si>
  <si>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</si>
  <si>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</si>
  <si>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</si>
  <si>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</si>
  <si>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</si>
  <si>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</si>
  <si>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</si>
  <si>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</si>
  <si>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</si>
  <si>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</si>
  <si>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</si>
  <si>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</si>
  <si>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</si>
  <si>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</si>
  <si>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</si>
  <si>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</si>
  <si>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</si>
  <si>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</si>
  <si>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</si>
  <si>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</si>
  <si>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</si>
  <si>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</si>
  <si>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</si>
  <si>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</si>
  <si>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</si>
  <si>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</si>
  <si>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</si>
  <si>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</si>
  <si>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</si>
  <si>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</si>
  <si>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</si>
  <si>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</si>
  <si>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</si>
  <si>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</si>
  <si>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</si>
  <si>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</si>
  <si>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</si>
  <si>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</si>
  <si>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</si>
  <si>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</si>
  <si>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</si>
  <si>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</si>
  <si>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RLL-TB380-A</t>
  </si>
  <si>
    <t>RLL-TB380-B</t>
  </si>
  <si>
    <t>GT-HLS380-W</t>
  </si>
  <si>
    <t>GT-HLS380-Z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</si>
</sst>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/>
    <xf numFmtId="0" fontId="4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4" fillId="11" borderId="0" xfId="0" applyFont="1" applyFill="1"/>
    <xf numFmtId="0" fontId="0" fillId="14" borderId="0" xfId="0" applyFill="1"/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29" activePane="bottomLeft" state="frozen"/>
      <selection pane="bottomLeft" activeCell="D46" sqref="D46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56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57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58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59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60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61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62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63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64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65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66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67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68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69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70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71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72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73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74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75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76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77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78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79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80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81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82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83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84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85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86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87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88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89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90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25">
        <v>35</v>
      </c>
      <c r="C37">
        <v>1</v>
      </c>
      <c r="D37" s="25" t="s">
        <v>91</v>
      </c>
      <c r="E37">
        <v>380</v>
      </c>
      <c r="F37">
        <v>1.05</v>
      </c>
      <c r="G37">
        <v>0.95</v>
      </c>
      <c r="J37" s="25">
        <v>4.0211829999999997</v>
      </c>
      <c r="K37" s="25">
        <v>51.957417</v>
      </c>
    </row>
    <row r="38" spans="1:11" x14ac:dyDescent="0.25">
      <c r="A38" s="1">
        <v>36</v>
      </c>
      <c r="B38" s="25">
        <v>36</v>
      </c>
      <c r="C38">
        <v>1</v>
      </c>
      <c r="D38" s="25" t="s">
        <v>92</v>
      </c>
      <c r="E38">
        <v>380</v>
      </c>
      <c r="F38">
        <v>1.05</v>
      </c>
      <c r="G38">
        <v>0.95</v>
      </c>
      <c r="J38" s="25">
        <v>6.8671119999999997</v>
      </c>
      <c r="K38" s="25">
        <v>53.435696999999998</v>
      </c>
    </row>
    <row r="39" spans="1:11" x14ac:dyDescent="0.25">
      <c r="A39" s="1">
        <v>37</v>
      </c>
      <c r="B39" s="25">
        <v>37</v>
      </c>
      <c r="C39">
        <v>1</v>
      </c>
      <c r="D39" s="25" t="s">
        <v>93</v>
      </c>
      <c r="E39">
        <v>380</v>
      </c>
      <c r="F39">
        <v>1.05</v>
      </c>
      <c r="G39">
        <v>0.95</v>
      </c>
      <c r="J39" s="25">
        <v>6.8665229999999999</v>
      </c>
      <c r="K39" s="25">
        <v>53.434562</v>
      </c>
    </row>
    <row r="40" spans="1:11" x14ac:dyDescent="0.25">
      <c r="A40" s="1">
        <v>38</v>
      </c>
      <c r="B40" s="25">
        <v>38</v>
      </c>
      <c r="C40">
        <v>1</v>
      </c>
      <c r="D40" s="25" t="s">
        <v>94</v>
      </c>
      <c r="E40">
        <v>380</v>
      </c>
      <c r="F40">
        <v>1.05</v>
      </c>
      <c r="G40">
        <v>0.95</v>
      </c>
      <c r="J40" s="25">
        <v>7.1894859999999996</v>
      </c>
      <c r="K40" s="25">
        <v>53.150091000000003</v>
      </c>
    </row>
    <row r="41" spans="1:11" x14ac:dyDescent="0.25">
      <c r="A41" s="1">
        <v>39</v>
      </c>
      <c r="B41" s="25">
        <v>39</v>
      </c>
      <c r="C41">
        <v>1</v>
      </c>
      <c r="D41" s="25" t="s">
        <v>95</v>
      </c>
      <c r="E41">
        <v>380</v>
      </c>
      <c r="F41">
        <v>1.05</v>
      </c>
      <c r="G41">
        <v>0.95</v>
      </c>
      <c r="J41" s="25">
        <v>6.9627559999999997</v>
      </c>
      <c r="K41" s="25">
        <v>52.194516999999998</v>
      </c>
    </row>
    <row r="42" spans="1:11" x14ac:dyDescent="0.25">
      <c r="A42" s="1">
        <v>40</v>
      </c>
      <c r="B42" s="25">
        <v>40</v>
      </c>
      <c r="C42">
        <v>1</v>
      </c>
      <c r="D42" s="25" t="s">
        <v>96</v>
      </c>
      <c r="E42">
        <v>380</v>
      </c>
      <c r="F42">
        <v>1.05</v>
      </c>
      <c r="G42">
        <v>0.95</v>
      </c>
      <c r="J42" s="25">
        <v>6.4496079999999996</v>
      </c>
      <c r="K42" s="25">
        <v>51.865383999999999</v>
      </c>
    </row>
    <row r="43" spans="1:11" x14ac:dyDescent="0.25">
      <c r="A43" s="1">
        <v>41</v>
      </c>
      <c r="B43" s="25">
        <v>41</v>
      </c>
      <c r="C43">
        <v>1</v>
      </c>
      <c r="D43" s="25" t="s">
        <v>97</v>
      </c>
      <c r="E43">
        <v>380</v>
      </c>
      <c r="F43">
        <v>1.05</v>
      </c>
      <c r="G43">
        <v>0.95</v>
      </c>
      <c r="J43" s="25">
        <v>6.0398350000000001</v>
      </c>
      <c r="K43" s="25">
        <v>51.098849000000001</v>
      </c>
    </row>
    <row r="44" spans="1:11" x14ac:dyDescent="0.25">
      <c r="A44" s="1">
        <v>42</v>
      </c>
      <c r="B44" s="25">
        <v>42</v>
      </c>
      <c r="C44">
        <v>1</v>
      </c>
      <c r="D44" s="25" t="s">
        <v>98</v>
      </c>
      <c r="E44">
        <v>380</v>
      </c>
      <c r="F44">
        <v>1.05</v>
      </c>
      <c r="G44">
        <v>0.95</v>
      </c>
      <c r="J44" s="25">
        <v>6.0396979999999996</v>
      </c>
      <c r="K44" s="25">
        <v>51.098717000000001</v>
      </c>
    </row>
    <row r="45" spans="1:11" x14ac:dyDescent="0.25">
      <c r="A45" s="1">
        <v>43</v>
      </c>
      <c r="B45" s="25">
        <v>43</v>
      </c>
      <c r="C45">
        <v>1</v>
      </c>
      <c r="D45" s="25" t="s">
        <v>99</v>
      </c>
      <c r="E45">
        <v>380</v>
      </c>
      <c r="F45">
        <v>1.05</v>
      </c>
      <c r="G45">
        <v>0.95</v>
      </c>
      <c r="J45" s="25">
        <v>5.814349</v>
      </c>
      <c r="K45" s="25">
        <v>51.120961000000001</v>
      </c>
    </row>
    <row r="46" spans="1:11" x14ac:dyDescent="0.25">
      <c r="A46" s="1">
        <v>44</v>
      </c>
      <c r="B46" s="25">
        <v>44</v>
      </c>
      <c r="C46">
        <v>1</v>
      </c>
      <c r="D46" s="25" t="s">
        <v>100</v>
      </c>
      <c r="E46">
        <v>380</v>
      </c>
      <c r="F46">
        <v>1.05</v>
      </c>
      <c r="G46">
        <v>0.95</v>
      </c>
      <c r="J46" s="25">
        <v>4.2481210000000003</v>
      </c>
      <c r="K46" s="25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269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270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271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272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273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274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275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276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topLeftCell="A5" zoomScale="103" workbookViewId="0">
      <selection activeCell="G2" sqref="G2:H47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58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59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60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61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62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64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65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66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67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68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69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70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71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72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73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75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78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79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80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81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82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84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85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86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87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88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89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90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270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271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272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273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274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275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276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253</v>
      </c>
      <c r="E37" s="25">
        <v>38</v>
      </c>
      <c r="F37">
        <v>380</v>
      </c>
      <c r="G37" s="26">
        <v>0.29962879999999997</v>
      </c>
      <c r="H37" s="23">
        <v>9.8483224013816553E-2</v>
      </c>
    </row>
    <row r="38" spans="1:8" x14ac:dyDescent="0.25">
      <c r="A38" s="14">
        <v>36</v>
      </c>
      <c r="B38">
        <v>36</v>
      </c>
      <c r="C38">
        <v>1</v>
      </c>
      <c r="D38" t="s">
        <v>254</v>
      </c>
      <c r="E38" s="25">
        <v>39</v>
      </c>
      <c r="F38">
        <v>380</v>
      </c>
      <c r="G38" s="26">
        <v>0.29962879999999997</v>
      </c>
      <c r="H38" s="23">
        <v>9.8483224013816553E-2</v>
      </c>
    </row>
    <row r="39" spans="1:8" x14ac:dyDescent="0.25">
      <c r="A39" s="14">
        <v>37</v>
      </c>
      <c r="B39">
        <v>37</v>
      </c>
      <c r="C39">
        <v>1</v>
      </c>
      <c r="D39" t="s">
        <v>255</v>
      </c>
      <c r="E39" s="25">
        <v>41</v>
      </c>
      <c r="F39">
        <v>380</v>
      </c>
      <c r="G39" s="26">
        <v>0.29962879999999997</v>
      </c>
      <c r="H39" s="23">
        <v>9.8483224013816553E-2</v>
      </c>
    </row>
    <row r="40" spans="1:8" x14ac:dyDescent="0.25">
      <c r="A40" s="14">
        <v>38</v>
      </c>
      <c r="B40">
        <v>38</v>
      </c>
      <c r="C40">
        <v>1</v>
      </c>
      <c r="D40" t="s">
        <v>256</v>
      </c>
      <c r="E40" s="25">
        <v>42</v>
      </c>
      <c r="F40">
        <v>380</v>
      </c>
      <c r="G40" s="26">
        <v>0.29962879999999997</v>
      </c>
      <c r="H40" s="23">
        <v>9.8483224013816553E-2</v>
      </c>
    </row>
    <row r="41" spans="1:8" x14ac:dyDescent="0.25">
      <c r="A41" s="14">
        <v>39</v>
      </c>
      <c r="B41">
        <v>39</v>
      </c>
      <c r="C41">
        <v>1</v>
      </c>
      <c r="D41" t="s">
        <v>489</v>
      </c>
      <c r="E41" s="25">
        <v>43</v>
      </c>
      <c r="F41">
        <v>380</v>
      </c>
      <c r="G41" s="26">
        <v>0.26103399999999999</v>
      </c>
      <c r="H41" s="23">
        <v>8.5797726711259376E-2</v>
      </c>
    </row>
    <row r="42" spans="1:8" x14ac:dyDescent="0.25">
      <c r="A42" s="14">
        <v>40</v>
      </c>
      <c r="B42">
        <v>40</v>
      </c>
      <c r="C42">
        <v>1</v>
      </c>
      <c r="D42" t="s">
        <v>258</v>
      </c>
      <c r="E42" s="25">
        <v>44</v>
      </c>
      <c r="F42">
        <v>380</v>
      </c>
      <c r="G42" s="26">
        <v>0.211034</v>
      </c>
      <c r="H42" s="23">
        <v>6.9363521452316224E-2</v>
      </c>
    </row>
    <row r="43" spans="1:8" x14ac:dyDescent="0.25">
      <c r="A43" s="14">
        <v>41</v>
      </c>
      <c r="B43">
        <v>41</v>
      </c>
      <c r="C43">
        <v>1</v>
      </c>
      <c r="D43" t="s">
        <v>91</v>
      </c>
      <c r="E43" s="25">
        <v>35</v>
      </c>
      <c r="F43">
        <v>380</v>
      </c>
      <c r="G43" s="23">
        <v>0.05</v>
      </c>
      <c r="H43" s="23">
        <v>1.6434205258943162E-2</v>
      </c>
    </row>
    <row r="44" spans="1:8" x14ac:dyDescent="0.25">
      <c r="A44" s="14">
        <v>42</v>
      </c>
      <c r="B44">
        <v>42</v>
      </c>
      <c r="C44">
        <v>1</v>
      </c>
      <c r="D44" t="s">
        <v>92</v>
      </c>
      <c r="E44" s="25">
        <v>36</v>
      </c>
      <c r="F44">
        <v>380</v>
      </c>
      <c r="G44" s="26">
        <v>0.10199</v>
      </c>
      <c r="H44" s="23">
        <v>3.3522491887192259E-2</v>
      </c>
    </row>
    <row r="45" spans="1:8" x14ac:dyDescent="0.25">
      <c r="A45" s="14">
        <v>43</v>
      </c>
      <c r="B45">
        <v>43</v>
      </c>
      <c r="C45">
        <v>1</v>
      </c>
      <c r="D45" t="s">
        <v>93</v>
      </c>
      <c r="E45" s="25">
        <v>37</v>
      </c>
      <c r="F45">
        <v>380</v>
      </c>
      <c r="G45" s="23">
        <v>0.05</v>
      </c>
      <c r="H45" s="23">
        <v>1.6434205258943162E-2</v>
      </c>
    </row>
    <row r="46" spans="1:8" x14ac:dyDescent="0.25">
      <c r="A46" s="14">
        <v>44</v>
      </c>
      <c r="B46">
        <v>44</v>
      </c>
      <c r="C46">
        <v>1</v>
      </c>
      <c r="D46" t="s">
        <v>262</v>
      </c>
      <c r="E46" s="25">
        <v>40</v>
      </c>
      <c r="F46">
        <v>380</v>
      </c>
      <c r="G46" s="26">
        <v>0.29962879999999997</v>
      </c>
      <c r="H46" s="23">
        <v>9.8483224013816553E-2</v>
      </c>
    </row>
    <row r="47" spans="1:8" x14ac:dyDescent="0.25">
      <c r="A47" s="1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1"/>
  <sheetViews>
    <sheetView zoomScale="99" workbookViewId="0">
      <pane ySplit="1" topLeftCell="A165" activePane="bottomLeft" state="frozen"/>
      <selection pane="bottomLeft" activeCell="M83" sqref="M83"/>
    </sheetView>
  </sheetViews>
  <sheetFormatPr defaultColWidth="8.85546875" defaultRowHeight="15" x14ac:dyDescent="0.25"/>
  <cols>
    <col min="4" max="4" width="43.5703125" bestFit="1" customWidth="1"/>
    <col min="20" max="20" width="25.57031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253</v>
      </c>
      <c r="E2">
        <v>1972</v>
      </c>
      <c r="F2">
        <v>380</v>
      </c>
      <c r="G2">
        <v>38</v>
      </c>
      <c r="I2" s="23">
        <f>0.1/2</f>
        <v>0.05</v>
      </c>
      <c r="J2">
        <v>0</v>
      </c>
      <c r="K2">
        <f>E2/2000</f>
        <v>0.98599999999999999</v>
      </c>
      <c r="L2">
        <f>-K2</f>
        <v>-0.98599999999999999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254</v>
      </c>
      <c r="E3">
        <v>1972</v>
      </c>
      <c r="F3">
        <v>380</v>
      </c>
      <c r="G3">
        <v>39</v>
      </c>
      <c r="I3" s="23">
        <f t="shared" ref="I3:I7" si="0">0.1/2</f>
        <v>0.05</v>
      </c>
      <c r="J3">
        <v>0</v>
      </c>
      <c r="K3">
        <f t="shared" ref="K3:K66" si="1">E3/2000</f>
        <v>0.98599999999999999</v>
      </c>
      <c r="L3">
        <f t="shared" ref="L3:L10" si="2">-K3</f>
        <v>-0.98599999999999999</v>
      </c>
      <c r="M3">
        <f t="shared" ref="M3:M10" si="3">5/2</f>
        <v>2.5</v>
      </c>
      <c r="N3">
        <f t="shared" ref="N3:N10" si="4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255</v>
      </c>
      <c r="E4">
        <v>986</v>
      </c>
      <c r="F4">
        <v>380</v>
      </c>
      <c r="G4">
        <v>41</v>
      </c>
      <c r="I4" s="23">
        <f t="shared" si="0"/>
        <v>0.05</v>
      </c>
      <c r="J4">
        <v>0</v>
      </c>
      <c r="K4">
        <f t="shared" si="1"/>
        <v>0.49299999999999999</v>
      </c>
      <c r="L4">
        <f t="shared" si="2"/>
        <v>-0.49299999999999999</v>
      </c>
      <c r="M4">
        <f t="shared" si="3"/>
        <v>2.5</v>
      </c>
      <c r="N4">
        <f t="shared" si="4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256</v>
      </c>
      <c r="E5">
        <v>986</v>
      </c>
      <c r="F5">
        <v>380</v>
      </c>
      <c r="G5">
        <v>42</v>
      </c>
      <c r="I5" s="23">
        <f t="shared" si="0"/>
        <v>0.05</v>
      </c>
      <c r="J5">
        <v>0</v>
      </c>
      <c r="K5">
        <f t="shared" si="1"/>
        <v>0.49299999999999999</v>
      </c>
      <c r="L5">
        <f t="shared" si="2"/>
        <v>-0.49299999999999999</v>
      </c>
      <c r="M5">
        <f t="shared" si="3"/>
        <v>2.5</v>
      </c>
      <c r="N5">
        <f t="shared" si="4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257</v>
      </c>
      <c r="E6">
        <v>1128</v>
      </c>
      <c r="F6">
        <v>380</v>
      </c>
      <c r="G6">
        <v>43</v>
      </c>
      <c r="I6" s="23">
        <f t="shared" si="0"/>
        <v>0.05</v>
      </c>
      <c r="J6">
        <v>0</v>
      </c>
      <c r="K6">
        <f t="shared" si="1"/>
        <v>0.56399999999999995</v>
      </c>
      <c r="L6">
        <f t="shared" si="2"/>
        <v>-0.56399999999999995</v>
      </c>
      <c r="M6">
        <f t="shared" si="3"/>
        <v>2.5</v>
      </c>
      <c r="N6">
        <f t="shared" si="4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258</v>
      </c>
      <c r="E7">
        <v>1128</v>
      </c>
      <c r="F7">
        <v>380</v>
      </c>
      <c r="G7">
        <v>44</v>
      </c>
      <c r="I7" s="23">
        <f t="shared" si="0"/>
        <v>0.05</v>
      </c>
      <c r="J7">
        <v>0</v>
      </c>
      <c r="K7">
        <f t="shared" si="1"/>
        <v>0.56399999999999995</v>
      </c>
      <c r="L7">
        <f t="shared" si="2"/>
        <v>-0.56399999999999995</v>
      </c>
      <c r="M7">
        <f t="shared" si="3"/>
        <v>2.5</v>
      </c>
      <c r="N7">
        <f t="shared" si="4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259</v>
      </c>
      <c r="E8">
        <v>1000</v>
      </c>
      <c r="F8">
        <v>380</v>
      </c>
      <c r="G8">
        <v>35</v>
      </c>
      <c r="I8" s="26">
        <f>0.100864/2</f>
        <v>5.0431999999999998E-2</v>
      </c>
      <c r="J8">
        <v>0</v>
      </c>
      <c r="K8">
        <f t="shared" si="1"/>
        <v>0.5</v>
      </c>
      <c r="L8">
        <f t="shared" si="2"/>
        <v>-0.5</v>
      </c>
      <c r="M8">
        <f t="shared" si="3"/>
        <v>2.5</v>
      </c>
      <c r="N8">
        <f t="shared" si="4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260</v>
      </c>
      <c r="E9">
        <v>700</v>
      </c>
      <c r="F9">
        <v>380</v>
      </c>
      <c r="G9">
        <v>36</v>
      </c>
      <c r="I9" s="23">
        <f>0.1/2</f>
        <v>0.05</v>
      </c>
      <c r="J9">
        <v>0</v>
      </c>
      <c r="K9">
        <f t="shared" si="1"/>
        <v>0.35</v>
      </c>
      <c r="L9">
        <f t="shared" si="2"/>
        <v>-0.35</v>
      </c>
      <c r="M9">
        <f t="shared" si="3"/>
        <v>2.5</v>
      </c>
      <c r="N9">
        <f t="shared" si="4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261</v>
      </c>
      <c r="E10" s="10">
        <v>700</v>
      </c>
      <c r="F10" s="10">
        <v>380</v>
      </c>
      <c r="G10" s="10">
        <v>37</v>
      </c>
      <c r="H10" s="10"/>
      <c r="I10" s="26">
        <f>0.49222/2</f>
        <v>0.24611</v>
      </c>
      <c r="J10" s="10">
        <v>0</v>
      </c>
      <c r="K10">
        <f t="shared" si="1"/>
        <v>0.35</v>
      </c>
      <c r="L10" s="10">
        <f t="shared" si="2"/>
        <v>-0.35</v>
      </c>
      <c r="M10">
        <f t="shared" si="3"/>
        <v>2.5</v>
      </c>
      <c r="N10">
        <f t="shared" si="4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350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1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350</v>
      </c>
      <c r="E12">
        <v>125</v>
      </c>
      <c r="F12">
        <v>380</v>
      </c>
      <c r="G12">
        <v>28</v>
      </c>
      <c r="I12">
        <f t="shared" ref="I12:I14" si="5">0.6*E12/2000</f>
        <v>3.7499999999999999E-2</v>
      </c>
      <c r="J12">
        <v>0</v>
      </c>
      <c r="K12">
        <f t="shared" si="1"/>
        <v>6.25E-2</v>
      </c>
      <c r="L12">
        <v>0</v>
      </c>
      <c r="M12">
        <f t="shared" ref="M12:M75" si="6">0.33*E12/2000</f>
        <v>2.0625000000000001E-2</v>
      </c>
      <c r="N12">
        <f t="shared" ref="N12:N13" si="7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351</v>
      </c>
      <c r="E13">
        <v>7</v>
      </c>
      <c r="F13">
        <v>380</v>
      </c>
      <c r="G13">
        <v>29</v>
      </c>
      <c r="I13">
        <f t="shared" si="5"/>
        <v>2.1000000000000003E-3</v>
      </c>
      <c r="J13">
        <v>0</v>
      </c>
      <c r="K13">
        <f t="shared" si="1"/>
        <v>3.5000000000000001E-3</v>
      </c>
      <c r="L13">
        <v>0</v>
      </c>
      <c r="M13">
        <f t="shared" si="6"/>
        <v>1.155E-3</v>
      </c>
      <c r="N13">
        <f t="shared" si="7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352</v>
      </c>
      <c r="E14">
        <v>38</v>
      </c>
      <c r="F14">
        <v>380</v>
      </c>
      <c r="G14">
        <v>12</v>
      </c>
      <c r="I14">
        <f t="shared" si="5"/>
        <v>1.14E-2</v>
      </c>
      <c r="J14">
        <v>0</v>
      </c>
      <c r="K14">
        <f t="shared" si="1"/>
        <v>1.9E-2</v>
      </c>
      <c r="L14">
        <v>0</v>
      </c>
      <c r="M14">
        <f t="shared" si="6"/>
        <v>6.2700000000000004E-3</v>
      </c>
      <c r="N14">
        <f t="shared" ref="N14:N77" si="8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353</v>
      </c>
      <c r="E15">
        <v>485</v>
      </c>
      <c r="F15">
        <v>380</v>
      </c>
      <c r="G15">
        <v>11</v>
      </c>
      <c r="I15" s="24">
        <f>0.98*E15/2000</f>
        <v>0.23765</v>
      </c>
      <c r="J15">
        <v>0</v>
      </c>
      <c r="K15">
        <f t="shared" si="1"/>
        <v>0.24249999999999999</v>
      </c>
      <c r="L15">
        <v>0</v>
      </c>
      <c r="M15">
        <f t="shared" si="6"/>
        <v>8.0024999999999999E-2</v>
      </c>
      <c r="N15">
        <f t="shared" si="8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354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1"/>
        <v>2.4E-2</v>
      </c>
      <c r="L16">
        <v>0</v>
      </c>
      <c r="M16">
        <f t="shared" si="6"/>
        <v>7.92E-3</v>
      </c>
      <c r="N16">
        <f t="shared" si="8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355</v>
      </c>
      <c r="E17">
        <v>455</v>
      </c>
      <c r="F17">
        <v>380</v>
      </c>
      <c r="G17">
        <v>11</v>
      </c>
      <c r="I17">
        <f t="shared" ref="I17:I80" si="9">0.6*E17/2000</f>
        <v>0.13650000000000001</v>
      </c>
      <c r="J17">
        <v>0</v>
      </c>
      <c r="K17">
        <f t="shared" si="1"/>
        <v>0.22750000000000001</v>
      </c>
      <c r="L17">
        <v>0</v>
      </c>
      <c r="M17">
        <f t="shared" si="6"/>
        <v>7.5075000000000003E-2</v>
      </c>
      <c r="N17">
        <f t="shared" si="8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356</v>
      </c>
      <c r="E18">
        <v>844</v>
      </c>
      <c r="F18">
        <v>380</v>
      </c>
      <c r="G18">
        <v>28</v>
      </c>
      <c r="I18">
        <f t="shared" si="9"/>
        <v>0.25319999999999998</v>
      </c>
      <c r="J18">
        <v>0</v>
      </c>
      <c r="K18">
        <f t="shared" si="1"/>
        <v>0.42199999999999999</v>
      </c>
      <c r="L18">
        <v>0</v>
      </c>
      <c r="M18">
        <f t="shared" si="6"/>
        <v>0.13926000000000002</v>
      </c>
      <c r="N18">
        <f t="shared" si="8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357</v>
      </c>
      <c r="E19">
        <v>72</v>
      </c>
      <c r="F19" s="13">
        <v>220</v>
      </c>
      <c r="G19">
        <v>3</v>
      </c>
      <c r="I19">
        <f t="shared" si="9"/>
        <v>2.1599999999999998E-2</v>
      </c>
      <c r="J19">
        <v>0</v>
      </c>
      <c r="K19">
        <f t="shared" si="1"/>
        <v>3.5999999999999997E-2</v>
      </c>
      <c r="L19">
        <v>0</v>
      </c>
      <c r="M19">
        <f t="shared" si="6"/>
        <v>1.188E-2</v>
      </c>
      <c r="N19">
        <f t="shared" si="8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357</v>
      </c>
      <c r="E20">
        <v>72</v>
      </c>
      <c r="F20" s="13">
        <v>220</v>
      </c>
      <c r="G20">
        <v>3</v>
      </c>
      <c r="I20">
        <f t="shared" si="9"/>
        <v>2.1599999999999998E-2</v>
      </c>
      <c r="J20">
        <v>0</v>
      </c>
      <c r="K20">
        <f t="shared" si="1"/>
        <v>3.5999999999999997E-2</v>
      </c>
      <c r="L20">
        <v>0</v>
      </c>
      <c r="M20">
        <f t="shared" si="6"/>
        <v>1.188E-2</v>
      </c>
      <c r="N20">
        <f t="shared" si="8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358</v>
      </c>
      <c r="E21">
        <v>131</v>
      </c>
      <c r="F21" s="13">
        <v>220</v>
      </c>
      <c r="G21">
        <v>6</v>
      </c>
      <c r="I21">
        <f t="shared" si="9"/>
        <v>3.9299999999999995E-2</v>
      </c>
      <c r="J21">
        <v>0</v>
      </c>
      <c r="K21">
        <f t="shared" si="1"/>
        <v>6.5500000000000003E-2</v>
      </c>
      <c r="L21">
        <v>0</v>
      </c>
      <c r="M21">
        <f t="shared" si="6"/>
        <v>2.1615000000000002E-2</v>
      </c>
      <c r="N21">
        <f t="shared" si="8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358</v>
      </c>
      <c r="E22">
        <v>359</v>
      </c>
      <c r="F22" s="13">
        <v>220</v>
      </c>
      <c r="G22">
        <v>6</v>
      </c>
      <c r="I22">
        <f t="shared" si="9"/>
        <v>0.1077</v>
      </c>
      <c r="J22">
        <v>0</v>
      </c>
      <c r="K22">
        <f t="shared" si="1"/>
        <v>0.17949999999999999</v>
      </c>
      <c r="L22">
        <v>0</v>
      </c>
      <c r="M22">
        <f t="shared" si="6"/>
        <v>5.9234999999999996E-2</v>
      </c>
      <c r="N22">
        <f t="shared" si="8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358</v>
      </c>
      <c r="E23">
        <v>359</v>
      </c>
      <c r="F23" s="13">
        <v>220</v>
      </c>
      <c r="G23">
        <v>6</v>
      </c>
      <c r="I23">
        <f t="shared" si="9"/>
        <v>0.1077</v>
      </c>
      <c r="J23">
        <v>0</v>
      </c>
      <c r="K23">
        <f t="shared" si="1"/>
        <v>0.17949999999999999</v>
      </c>
      <c r="L23">
        <v>0</v>
      </c>
      <c r="M23">
        <f t="shared" si="6"/>
        <v>5.9234999999999996E-2</v>
      </c>
      <c r="N23">
        <f t="shared" si="8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358</v>
      </c>
      <c r="E24">
        <v>361</v>
      </c>
      <c r="F24" s="13">
        <v>220</v>
      </c>
      <c r="G24">
        <v>6</v>
      </c>
      <c r="I24">
        <f t="shared" si="9"/>
        <v>0.10829999999999999</v>
      </c>
      <c r="J24">
        <v>0</v>
      </c>
      <c r="K24">
        <f t="shared" si="1"/>
        <v>0.18049999999999999</v>
      </c>
      <c r="L24">
        <v>0</v>
      </c>
      <c r="M24">
        <f t="shared" si="6"/>
        <v>5.9565000000000007E-2</v>
      </c>
      <c r="N24">
        <f t="shared" si="8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358</v>
      </c>
      <c r="E25">
        <v>359</v>
      </c>
      <c r="F25">
        <v>380</v>
      </c>
      <c r="G25">
        <v>18</v>
      </c>
      <c r="I25">
        <f t="shared" si="9"/>
        <v>0.1077</v>
      </c>
      <c r="J25">
        <v>0</v>
      </c>
      <c r="K25">
        <f t="shared" si="1"/>
        <v>0.17949999999999999</v>
      </c>
      <c r="L25">
        <v>0</v>
      </c>
      <c r="M25">
        <f t="shared" si="6"/>
        <v>5.9234999999999996E-2</v>
      </c>
      <c r="N25">
        <f t="shared" si="8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358</v>
      </c>
      <c r="E26">
        <v>360</v>
      </c>
      <c r="F26">
        <v>380</v>
      </c>
      <c r="G26">
        <v>18</v>
      </c>
      <c r="I26">
        <f t="shared" si="9"/>
        <v>0.108</v>
      </c>
      <c r="J26">
        <v>0</v>
      </c>
      <c r="K26">
        <f t="shared" si="1"/>
        <v>0.18</v>
      </c>
      <c r="L26">
        <v>0</v>
      </c>
      <c r="M26">
        <f t="shared" si="6"/>
        <v>5.9400000000000008E-2</v>
      </c>
      <c r="N26">
        <f t="shared" si="8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359</v>
      </c>
      <c r="E27">
        <v>426</v>
      </c>
      <c r="F27">
        <v>380</v>
      </c>
      <c r="G27">
        <v>25</v>
      </c>
      <c r="I27">
        <f t="shared" si="9"/>
        <v>0.1278</v>
      </c>
      <c r="J27">
        <v>0</v>
      </c>
      <c r="K27">
        <f t="shared" si="1"/>
        <v>0.21299999999999999</v>
      </c>
      <c r="L27">
        <v>0</v>
      </c>
      <c r="M27">
        <f t="shared" si="6"/>
        <v>7.0290000000000005E-2</v>
      </c>
      <c r="N27">
        <f t="shared" si="8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359</v>
      </c>
      <c r="E28">
        <v>415</v>
      </c>
      <c r="F28">
        <v>380</v>
      </c>
      <c r="G28">
        <v>25</v>
      </c>
      <c r="I28">
        <f t="shared" si="9"/>
        <v>0.1245</v>
      </c>
      <c r="J28">
        <v>0</v>
      </c>
      <c r="K28">
        <f t="shared" si="1"/>
        <v>0.20749999999999999</v>
      </c>
      <c r="L28">
        <v>0</v>
      </c>
      <c r="M28">
        <f t="shared" si="6"/>
        <v>6.8475000000000008E-2</v>
      </c>
      <c r="N28">
        <f t="shared" si="8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360</v>
      </c>
      <c r="E29">
        <v>83</v>
      </c>
      <c r="F29">
        <v>380</v>
      </c>
      <c r="G29">
        <v>13</v>
      </c>
      <c r="I29">
        <f t="shared" si="9"/>
        <v>2.4899999999999999E-2</v>
      </c>
      <c r="J29">
        <v>0</v>
      </c>
      <c r="K29">
        <f t="shared" si="1"/>
        <v>4.1500000000000002E-2</v>
      </c>
      <c r="L29">
        <v>0</v>
      </c>
      <c r="M29">
        <f t="shared" si="6"/>
        <v>1.3695000000000001E-2</v>
      </c>
      <c r="N29">
        <f t="shared" si="8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361</v>
      </c>
      <c r="E30">
        <v>112</v>
      </c>
      <c r="F30">
        <v>380</v>
      </c>
      <c r="G30">
        <v>33</v>
      </c>
      <c r="I30">
        <f t="shared" si="9"/>
        <v>3.3600000000000005E-2</v>
      </c>
      <c r="J30">
        <v>0</v>
      </c>
      <c r="K30">
        <f t="shared" si="1"/>
        <v>5.6000000000000001E-2</v>
      </c>
      <c r="L30">
        <v>0</v>
      </c>
      <c r="M30">
        <f t="shared" si="6"/>
        <v>1.848E-2</v>
      </c>
      <c r="N30">
        <f t="shared" si="8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362</v>
      </c>
      <c r="E31">
        <v>24</v>
      </c>
      <c r="F31">
        <v>380</v>
      </c>
      <c r="G31">
        <v>24</v>
      </c>
      <c r="I31">
        <f t="shared" si="9"/>
        <v>7.1999999999999989E-3</v>
      </c>
      <c r="J31">
        <v>0</v>
      </c>
      <c r="K31">
        <f t="shared" si="1"/>
        <v>1.2E-2</v>
      </c>
      <c r="L31">
        <v>0</v>
      </c>
      <c r="M31">
        <f t="shared" si="6"/>
        <v>3.96E-3</v>
      </c>
      <c r="N31">
        <f t="shared" si="8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362</v>
      </c>
      <c r="E32">
        <v>24</v>
      </c>
      <c r="F32">
        <v>380</v>
      </c>
      <c r="G32">
        <v>24</v>
      </c>
      <c r="I32">
        <f t="shared" si="9"/>
        <v>7.1999999999999989E-3</v>
      </c>
      <c r="J32">
        <v>0</v>
      </c>
      <c r="K32">
        <f t="shared" si="1"/>
        <v>1.2E-2</v>
      </c>
      <c r="L32">
        <v>0</v>
      </c>
      <c r="M32">
        <f t="shared" si="6"/>
        <v>3.96E-3</v>
      </c>
      <c r="N32">
        <f t="shared" si="8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362</v>
      </c>
      <c r="E33">
        <v>220</v>
      </c>
      <c r="F33">
        <v>380</v>
      </c>
      <c r="G33">
        <v>24</v>
      </c>
      <c r="I33">
        <f t="shared" si="9"/>
        <v>6.6000000000000003E-2</v>
      </c>
      <c r="J33">
        <v>0</v>
      </c>
      <c r="K33">
        <f t="shared" si="1"/>
        <v>0.11</v>
      </c>
      <c r="L33">
        <v>0</v>
      </c>
      <c r="M33">
        <f t="shared" si="6"/>
        <v>3.6300000000000006E-2</v>
      </c>
      <c r="N33">
        <f t="shared" si="8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363</v>
      </c>
      <c r="E34">
        <v>79</v>
      </c>
      <c r="F34">
        <v>380</v>
      </c>
      <c r="G34">
        <v>28</v>
      </c>
      <c r="I34">
        <f t="shared" si="9"/>
        <v>2.3699999999999999E-2</v>
      </c>
      <c r="J34">
        <v>0</v>
      </c>
      <c r="K34">
        <f t="shared" si="1"/>
        <v>3.95E-2</v>
      </c>
      <c r="L34">
        <v>0</v>
      </c>
      <c r="M34">
        <f t="shared" si="6"/>
        <v>1.3035E-2</v>
      </c>
      <c r="N34">
        <f t="shared" si="8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364</v>
      </c>
      <c r="E35">
        <v>435</v>
      </c>
      <c r="F35">
        <v>380</v>
      </c>
      <c r="G35">
        <v>11</v>
      </c>
      <c r="I35">
        <f t="shared" si="9"/>
        <v>0.1305</v>
      </c>
      <c r="J35">
        <v>0</v>
      </c>
      <c r="K35">
        <f t="shared" si="1"/>
        <v>0.2175</v>
      </c>
      <c r="L35">
        <v>0</v>
      </c>
      <c r="M35">
        <f t="shared" si="6"/>
        <v>7.1775000000000005E-2</v>
      </c>
      <c r="N35">
        <f t="shared" si="8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364</v>
      </c>
      <c r="E36">
        <v>435</v>
      </c>
      <c r="F36">
        <v>380</v>
      </c>
      <c r="G36">
        <v>11</v>
      </c>
      <c r="I36">
        <f t="shared" si="9"/>
        <v>0.1305</v>
      </c>
      <c r="J36">
        <v>0</v>
      </c>
      <c r="K36">
        <f t="shared" si="1"/>
        <v>0.2175</v>
      </c>
      <c r="L36">
        <v>0</v>
      </c>
      <c r="M36">
        <f t="shared" si="6"/>
        <v>7.1775000000000005E-2</v>
      </c>
      <c r="N36">
        <f t="shared" si="8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365</v>
      </c>
      <c r="E37">
        <v>600</v>
      </c>
      <c r="F37">
        <v>380</v>
      </c>
      <c r="G37">
        <v>22</v>
      </c>
      <c r="I37">
        <f t="shared" si="9"/>
        <v>0.18</v>
      </c>
      <c r="J37">
        <v>0</v>
      </c>
      <c r="K37">
        <f t="shared" si="1"/>
        <v>0.3</v>
      </c>
      <c r="L37">
        <v>0</v>
      </c>
      <c r="M37">
        <f t="shared" si="6"/>
        <v>9.9000000000000005E-2</v>
      </c>
      <c r="N37">
        <f t="shared" si="8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366</v>
      </c>
      <c r="E38">
        <v>60</v>
      </c>
      <c r="F38">
        <v>380</v>
      </c>
      <c r="G38">
        <v>23</v>
      </c>
      <c r="I38">
        <f t="shared" si="9"/>
        <v>1.7999999999999999E-2</v>
      </c>
      <c r="J38">
        <v>0</v>
      </c>
      <c r="K38">
        <f t="shared" si="1"/>
        <v>0.03</v>
      </c>
      <c r="L38">
        <v>0</v>
      </c>
      <c r="M38">
        <f t="shared" si="6"/>
        <v>9.9000000000000008E-3</v>
      </c>
      <c r="N38">
        <f t="shared" si="8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367</v>
      </c>
      <c r="E39">
        <v>180</v>
      </c>
      <c r="F39" s="13">
        <v>220</v>
      </c>
      <c r="G39">
        <v>8</v>
      </c>
      <c r="I39">
        <f t="shared" si="9"/>
        <v>5.3999999999999999E-2</v>
      </c>
      <c r="J39">
        <v>0</v>
      </c>
      <c r="K39">
        <f t="shared" si="1"/>
        <v>0.09</v>
      </c>
      <c r="L39">
        <v>0</v>
      </c>
      <c r="M39">
        <f t="shared" si="6"/>
        <v>2.9700000000000004E-2</v>
      </c>
      <c r="N39">
        <f t="shared" si="8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368</v>
      </c>
      <c r="E40">
        <v>640</v>
      </c>
      <c r="F40">
        <v>380</v>
      </c>
      <c r="G40">
        <v>26</v>
      </c>
      <c r="I40">
        <f t="shared" si="9"/>
        <v>0.192</v>
      </c>
      <c r="J40">
        <v>0</v>
      </c>
      <c r="K40">
        <f t="shared" si="1"/>
        <v>0.32</v>
      </c>
      <c r="L40">
        <v>0</v>
      </c>
      <c r="M40">
        <f t="shared" si="6"/>
        <v>0.10560000000000001</v>
      </c>
      <c r="N40">
        <f t="shared" si="8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368</v>
      </c>
      <c r="E41">
        <v>1275</v>
      </c>
      <c r="F41">
        <v>380</v>
      </c>
      <c r="G41">
        <v>26</v>
      </c>
      <c r="I41">
        <f t="shared" si="9"/>
        <v>0.38250000000000001</v>
      </c>
      <c r="J41">
        <v>0</v>
      </c>
      <c r="K41">
        <f t="shared" si="1"/>
        <v>0.63749999999999996</v>
      </c>
      <c r="L41">
        <v>0</v>
      </c>
      <c r="M41">
        <f t="shared" si="6"/>
        <v>0.21037500000000001</v>
      </c>
      <c r="N41">
        <f t="shared" si="8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367</v>
      </c>
      <c r="E42">
        <v>350</v>
      </c>
      <c r="F42" s="13">
        <v>220</v>
      </c>
      <c r="G42">
        <v>8</v>
      </c>
      <c r="I42">
        <f t="shared" si="9"/>
        <v>0.105</v>
      </c>
      <c r="J42">
        <v>0</v>
      </c>
      <c r="K42">
        <f t="shared" si="1"/>
        <v>0.17499999999999999</v>
      </c>
      <c r="L42">
        <v>0</v>
      </c>
      <c r="M42">
        <f t="shared" si="6"/>
        <v>5.7750000000000003E-2</v>
      </c>
      <c r="N42">
        <f t="shared" si="8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369</v>
      </c>
      <c r="E43">
        <v>63</v>
      </c>
      <c r="F43" s="13">
        <v>220</v>
      </c>
      <c r="G43">
        <v>9</v>
      </c>
      <c r="I43">
        <f t="shared" si="9"/>
        <v>1.89E-2</v>
      </c>
      <c r="J43">
        <v>0</v>
      </c>
      <c r="K43">
        <f t="shared" si="1"/>
        <v>3.15E-2</v>
      </c>
      <c r="L43">
        <v>0</v>
      </c>
      <c r="M43">
        <f t="shared" si="6"/>
        <v>1.0395000000000001E-2</v>
      </c>
      <c r="N43">
        <f t="shared" si="8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370</v>
      </c>
      <c r="E44">
        <v>63</v>
      </c>
      <c r="F44" s="13">
        <v>220</v>
      </c>
      <c r="G44">
        <v>9</v>
      </c>
      <c r="I44">
        <f t="shared" si="9"/>
        <v>1.89E-2</v>
      </c>
      <c r="J44">
        <v>0</v>
      </c>
      <c r="K44">
        <f t="shared" si="1"/>
        <v>3.15E-2</v>
      </c>
      <c r="L44">
        <v>0</v>
      </c>
      <c r="M44">
        <f t="shared" si="6"/>
        <v>1.0395000000000001E-2</v>
      </c>
      <c r="N44">
        <f t="shared" si="8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371</v>
      </c>
      <c r="E45">
        <v>230</v>
      </c>
      <c r="F45">
        <v>380</v>
      </c>
      <c r="G45">
        <v>26</v>
      </c>
      <c r="I45">
        <f t="shared" si="9"/>
        <v>6.9000000000000006E-2</v>
      </c>
      <c r="J45">
        <v>0</v>
      </c>
      <c r="K45">
        <f t="shared" si="1"/>
        <v>0.115</v>
      </c>
      <c r="L45">
        <v>0</v>
      </c>
      <c r="M45">
        <f t="shared" si="6"/>
        <v>3.7950000000000005E-2</v>
      </c>
      <c r="N45">
        <f t="shared" si="8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372</v>
      </c>
      <c r="E46">
        <v>33</v>
      </c>
      <c r="F46">
        <v>380</v>
      </c>
      <c r="G46">
        <v>30</v>
      </c>
      <c r="I46">
        <f t="shared" si="9"/>
        <v>9.9000000000000008E-3</v>
      </c>
      <c r="J46">
        <v>0</v>
      </c>
      <c r="K46">
        <f t="shared" si="1"/>
        <v>1.6500000000000001E-2</v>
      </c>
      <c r="L46">
        <v>0</v>
      </c>
      <c r="M46">
        <f t="shared" si="6"/>
        <v>5.4450000000000002E-3</v>
      </c>
      <c r="N46">
        <f t="shared" si="8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373</v>
      </c>
      <c r="E47">
        <v>25</v>
      </c>
      <c r="F47">
        <v>380</v>
      </c>
      <c r="G47">
        <v>16</v>
      </c>
      <c r="I47">
        <f t="shared" si="9"/>
        <v>7.4999999999999997E-3</v>
      </c>
      <c r="J47">
        <v>0</v>
      </c>
      <c r="K47">
        <f t="shared" si="1"/>
        <v>1.2500000000000001E-2</v>
      </c>
      <c r="L47">
        <v>0</v>
      </c>
      <c r="M47">
        <f t="shared" si="6"/>
        <v>4.1250000000000002E-3</v>
      </c>
      <c r="N47">
        <f t="shared" si="8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374</v>
      </c>
      <c r="E48">
        <v>32</v>
      </c>
      <c r="F48">
        <v>380</v>
      </c>
      <c r="G48">
        <v>22</v>
      </c>
      <c r="I48">
        <f t="shared" si="9"/>
        <v>9.5999999999999992E-3</v>
      </c>
      <c r="J48">
        <v>0</v>
      </c>
      <c r="K48">
        <f t="shared" si="1"/>
        <v>1.6E-2</v>
      </c>
      <c r="L48">
        <v>0</v>
      </c>
      <c r="M48">
        <f t="shared" si="6"/>
        <v>5.28E-3</v>
      </c>
      <c r="N48">
        <f t="shared" si="8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375</v>
      </c>
      <c r="E49">
        <v>128</v>
      </c>
      <c r="F49" s="13">
        <v>220</v>
      </c>
      <c r="G49">
        <v>2</v>
      </c>
      <c r="I49">
        <f t="shared" si="9"/>
        <v>3.8399999999999997E-2</v>
      </c>
      <c r="J49">
        <v>0</v>
      </c>
      <c r="K49">
        <f t="shared" si="1"/>
        <v>6.4000000000000001E-2</v>
      </c>
      <c r="L49">
        <v>0</v>
      </c>
      <c r="M49">
        <f t="shared" si="6"/>
        <v>2.112E-2</v>
      </c>
      <c r="N49">
        <f t="shared" si="8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376</v>
      </c>
      <c r="E50">
        <v>62</v>
      </c>
      <c r="F50">
        <v>380</v>
      </c>
      <c r="G50">
        <v>15</v>
      </c>
      <c r="I50">
        <f t="shared" si="9"/>
        <v>1.8599999999999998E-2</v>
      </c>
      <c r="J50">
        <v>0</v>
      </c>
      <c r="K50">
        <f t="shared" si="1"/>
        <v>3.1E-2</v>
      </c>
      <c r="L50">
        <v>0</v>
      </c>
      <c r="M50">
        <f t="shared" si="6"/>
        <v>1.0230000000000001E-2</v>
      </c>
      <c r="N50">
        <f t="shared" si="8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376</v>
      </c>
      <c r="E51">
        <v>55</v>
      </c>
      <c r="F51">
        <v>380</v>
      </c>
      <c r="G51">
        <v>15</v>
      </c>
      <c r="I51">
        <f t="shared" si="9"/>
        <v>1.6500000000000001E-2</v>
      </c>
      <c r="J51">
        <v>0</v>
      </c>
      <c r="K51">
        <f t="shared" si="1"/>
        <v>2.75E-2</v>
      </c>
      <c r="L51">
        <v>0</v>
      </c>
      <c r="M51">
        <f t="shared" si="6"/>
        <v>9.0750000000000015E-3</v>
      </c>
      <c r="N51">
        <f t="shared" si="8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377</v>
      </c>
      <c r="E52">
        <v>249</v>
      </c>
      <c r="F52">
        <v>380</v>
      </c>
      <c r="G52">
        <v>15</v>
      </c>
      <c r="I52">
        <f t="shared" si="9"/>
        <v>7.4700000000000003E-2</v>
      </c>
      <c r="J52">
        <v>0</v>
      </c>
      <c r="K52">
        <f t="shared" si="1"/>
        <v>0.1245</v>
      </c>
      <c r="L52">
        <v>0</v>
      </c>
      <c r="M52">
        <f t="shared" si="6"/>
        <v>4.1085000000000003E-2</v>
      </c>
      <c r="N52">
        <f t="shared" si="8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378</v>
      </c>
      <c r="E53">
        <v>144</v>
      </c>
      <c r="F53">
        <v>380</v>
      </c>
      <c r="G53">
        <v>12</v>
      </c>
      <c r="I53">
        <f t="shared" si="9"/>
        <v>4.3199999999999995E-2</v>
      </c>
      <c r="J53">
        <v>0</v>
      </c>
      <c r="K53">
        <f t="shared" si="1"/>
        <v>7.1999999999999995E-2</v>
      </c>
      <c r="L53">
        <v>0</v>
      </c>
      <c r="M53">
        <f t="shared" si="6"/>
        <v>2.376E-2</v>
      </c>
      <c r="N53">
        <f t="shared" si="8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379</v>
      </c>
      <c r="E54">
        <v>248</v>
      </c>
      <c r="F54">
        <v>380</v>
      </c>
      <c r="G54">
        <v>10</v>
      </c>
      <c r="I54">
        <f t="shared" si="9"/>
        <v>7.4399999999999994E-2</v>
      </c>
      <c r="J54">
        <v>0</v>
      </c>
      <c r="K54">
        <f t="shared" si="1"/>
        <v>0.124</v>
      </c>
      <c r="L54">
        <v>0</v>
      </c>
      <c r="M54">
        <f t="shared" si="6"/>
        <v>4.0920000000000005E-2</v>
      </c>
      <c r="N54">
        <f t="shared" si="8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380</v>
      </c>
      <c r="E55">
        <v>103</v>
      </c>
      <c r="F55">
        <v>380</v>
      </c>
      <c r="G55">
        <v>10</v>
      </c>
      <c r="I55">
        <f t="shared" si="9"/>
        <v>3.0899999999999997E-2</v>
      </c>
      <c r="J55">
        <v>0</v>
      </c>
      <c r="K55">
        <f t="shared" si="1"/>
        <v>5.1499999999999997E-2</v>
      </c>
      <c r="L55">
        <v>0</v>
      </c>
      <c r="M55">
        <f t="shared" si="6"/>
        <v>1.6995E-2</v>
      </c>
      <c r="N55">
        <f t="shared" si="8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380</v>
      </c>
      <c r="E56">
        <v>225</v>
      </c>
      <c r="F56">
        <v>380</v>
      </c>
      <c r="G56">
        <v>10</v>
      </c>
      <c r="I56">
        <f t="shared" si="9"/>
        <v>6.7500000000000004E-2</v>
      </c>
      <c r="J56">
        <v>0</v>
      </c>
      <c r="K56">
        <f t="shared" si="1"/>
        <v>0.1125</v>
      </c>
      <c r="L56">
        <v>0</v>
      </c>
      <c r="M56">
        <f t="shared" si="6"/>
        <v>3.7124999999999998E-2</v>
      </c>
      <c r="N56">
        <f t="shared" si="8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381</v>
      </c>
      <c r="E57">
        <v>67</v>
      </c>
      <c r="F57">
        <v>380</v>
      </c>
      <c r="G57">
        <v>15</v>
      </c>
      <c r="I57">
        <f t="shared" si="9"/>
        <v>2.0099999999999996E-2</v>
      </c>
      <c r="J57">
        <v>0</v>
      </c>
      <c r="K57">
        <f t="shared" si="1"/>
        <v>3.3500000000000002E-2</v>
      </c>
      <c r="L57">
        <v>0</v>
      </c>
      <c r="M57">
        <f t="shared" si="6"/>
        <v>1.1054999999999999E-2</v>
      </c>
      <c r="N57">
        <f t="shared" si="8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378</v>
      </c>
      <c r="E58">
        <v>460</v>
      </c>
      <c r="F58">
        <v>380</v>
      </c>
      <c r="G58">
        <v>12</v>
      </c>
      <c r="I58">
        <f t="shared" si="9"/>
        <v>0.13800000000000001</v>
      </c>
      <c r="J58">
        <v>0</v>
      </c>
      <c r="K58">
        <f t="shared" si="1"/>
        <v>0.23</v>
      </c>
      <c r="L58">
        <v>0</v>
      </c>
      <c r="M58">
        <f t="shared" si="6"/>
        <v>7.5900000000000009E-2</v>
      </c>
      <c r="N58">
        <f t="shared" si="8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378</v>
      </c>
      <c r="E59">
        <v>380</v>
      </c>
      <c r="F59">
        <v>380</v>
      </c>
      <c r="G59">
        <v>12</v>
      </c>
      <c r="I59">
        <f t="shared" si="9"/>
        <v>0.114</v>
      </c>
      <c r="J59">
        <v>0</v>
      </c>
      <c r="K59">
        <f t="shared" si="1"/>
        <v>0.19</v>
      </c>
      <c r="L59">
        <v>0</v>
      </c>
      <c r="M59">
        <f t="shared" si="6"/>
        <v>6.2700000000000006E-2</v>
      </c>
      <c r="N59">
        <f t="shared" si="8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382</v>
      </c>
      <c r="E60">
        <v>440</v>
      </c>
      <c r="F60">
        <v>380</v>
      </c>
      <c r="G60">
        <v>29</v>
      </c>
      <c r="I60">
        <f t="shared" si="9"/>
        <v>0.13200000000000001</v>
      </c>
      <c r="J60">
        <v>0</v>
      </c>
      <c r="K60">
        <f t="shared" si="1"/>
        <v>0.22</v>
      </c>
      <c r="L60">
        <v>0</v>
      </c>
      <c r="M60">
        <f t="shared" si="6"/>
        <v>7.2600000000000012E-2</v>
      </c>
      <c r="N60">
        <f t="shared" si="8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383</v>
      </c>
      <c r="E61">
        <v>426</v>
      </c>
      <c r="F61">
        <v>380</v>
      </c>
      <c r="G61">
        <v>28</v>
      </c>
      <c r="I61">
        <f t="shared" si="9"/>
        <v>0.1278</v>
      </c>
      <c r="J61">
        <v>0</v>
      </c>
      <c r="K61">
        <f t="shared" si="1"/>
        <v>0.21299999999999999</v>
      </c>
      <c r="L61">
        <v>0</v>
      </c>
      <c r="M61">
        <f t="shared" si="6"/>
        <v>7.0290000000000005E-2</v>
      </c>
      <c r="N61">
        <f t="shared" si="8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384</v>
      </c>
      <c r="E62">
        <v>351</v>
      </c>
      <c r="F62">
        <v>380</v>
      </c>
      <c r="G62">
        <v>22</v>
      </c>
      <c r="I62">
        <f t="shared" si="9"/>
        <v>0.10529999999999999</v>
      </c>
      <c r="J62">
        <v>0</v>
      </c>
      <c r="K62">
        <f t="shared" si="1"/>
        <v>0.17549999999999999</v>
      </c>
      <c r="L62">
        <v>0</v>
      </c>
      <c r="M62">
        <f t="shared" si="6"/>
        <v>5.7915000000000008E-2</v>
      </c>
      <c r="N62">
        <f t="shared" si="8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384</v>
      </c>
      <c r="E63">
        <v>415</v>
      </c>
      <c r="F63">
        <v>380</v>
      </c>
      <c r="G63">
        <v>22</v>
      </c>
      <c r="I63">
        <f t="shared" si="9"/>
        <v>0.1245</v>
      </c>
      <c r="J63">
        <v>0</v>
      </c>
      <c r="K63">
        <f t="shared" si="1"/>
        <v>0.20749999999999999</v>
      </c>
      <c r="L63">
        <v>0</v>
      </c>
      <c r="M63">
        <f t="shared" si="6"/>
        <v>6.8475000000000008E-2</v>
      </c>
      <c r="N63">
        <f t="shared" si="8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385</v>
      </c>
      <c r="E64">
        <v>24</v>
      </c>
      <c r="F64">
        <v>380</v>
      </c>
      <c r="G64">
        <v>30</v>
      </c>
      <c r="I64">
        <f t="shared" si="9"/>
        <v>7.1999999999999989E-3</v>
      </c>
      <c r="J64">
        <v>0</v>
      </c>
      <c r="K64">
        <f t="shared" si="1"/>
        <v>1.2E-2</v>
      </c>
      <c r="L64">
        <v>0</v>
      </c>
      <c r="M64">
        <f t="shared" si="6"/>
        <v>3.96E-3</v>
      </c>
      <c r="N64">
        <f t="shared" si="8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386</v>
      </c>
      <c r="E65">
        <v>437</v>
      </c>
      <c r="F65">
        <v>380</v>
      </c>
      <c r="G65">
        <v>21</v>
      </c>
      <c r="I65">
        <f t="shared" si="9"/>
        <v>0.13109999999999999</v>
      </c>
      <c r="J65">
        <v>0</v>
      </c>
      <c r="K65">
        <f t="shared" si="1"/>
        <v>0.2185</v>
      </c>
      <c r="L65">
        <v>0</v>
      </c>
      <c r="M65">
        <f t="shared" si="6"/>
        <v>7.2105000000000002E-2</v>
      </c>
      <c r="N65">
        <f t="shared" si="8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386</v>
      </c>
      <c r="E66">
        <v>437</v>
      </c>
      <c r="F66">
        <v>380</v>
      </c>
      <c r="G66">
        <v>21</v>
      </c>
      <c r="I66">
        <f t="shared" si="9"/>
        <v>0.13109999999999999</v>
      </c>
      <c r="J66">
        <v>0</v>
      </c>
      <c r="K66">
        <f t="shared" si="1"/>
        <v>0.2185</v>
      </c>
      <c r="L66">
        <v>0</v>
      </c>
      <c r="M66">
        <f t="shared" si="6"/>
        <v>7.2105000000000002E-2</v>
      </c>
      <c r="N66">
        <f t="shared" si="8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386</v>
      </c>
      <c r="E67">
        <v>437</v>
      </c>
      <c r="F67">
        <v>380</v>
      </c>
      <c r="G67">
        <v>21</v>
      </c>
      <c r="I67">
        <f t="shared" si="9"/>
        <v>0.13109999999999999</v>
      </c>
      <c r="J67">
        <v>0</v>
      </c>
      <c r="K67">
        <f t="shared" ref="K67:K130" si="10">E67/2000</f>
        <v>0.2185</v>
      </c>
      <c r="L67">
        <v>0</v>
      </c>
      <c r="M67">
        <f t="shared" si="6"/>
        <v>7.2105000000000002E-2</v>
      </c>
      <c r="N67">
        <f t="shared" si="8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377</v>
      </c>
      <c r="E68">
        <v>435</v>
      </c>
      <c r="F68">
        <v>380</v>
      </c>
      <c r="G68">
        <v>15</v>
      </c>
      <c r="I68">
        <f t="shared" si="9"/>
        <v>0.1305</v>
      </c>
      <c r="J68">
        <v>0</v>
      </c>
      <c r="K68">
        <f t="shared" si="10"/>
        <v>0.2175</v>
      </c>
      <c r="L68">
        <v>0</v>
      </c>
      <c r="M68">
        <f t="shared" si="6"/>
        <v>7.1775000000000005E-2</v>
      </c>
      <c r="N68">
        <f t="shared" si="8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387</v>
      </c>
      <c r="E69">
        <v>120</v>
      </c>
      <c r="F69">
        <v>380</v>
      </c>
      <c r="G69">
        <v>22</v>
      </c>
      <c r="I69">
        <f t="shared" si="9"/>
        <v>3.5999999999999997E-2</v>
      </c>
      <c r="J69">
        <v>0</v>
      </c>
      <c r="K69">
        <f t="shared" si="10"/>
        <v>0.06</v>
      </c>
      <c r="L69">
        <v>0</v>
      </c>
      <c r="M69">
        <f t="shared" si="6"/>
        <v>1.9800000000000002E-2</v>
      </c>
      <c r="N69">
        <f t="shared" si="8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388</v>
      </c>
      <c r="E70">
        <v>36</v>
      </c>
      <c r="F70">
        <v>380</v>
      </c>
      <c r="G70">
        <v>22</v>
      </c>
      <c r="I70">
        <f t="shared" si="9"/>
        <v>1.0799999999999999E-2</v>
      </c>
      <c r="J70">
        <v>0</v>
      </c>
      <c r="K70">
        <f t="shared" si="10"/>
        <v>1.7999999999999999E-2</v>
      </c>
      <c r="L70">
        <v>0</v>
      </c>
      <c r="M70">
        <f t="shared" si="6"/>
        <v>5.94E-3</v>
      </c>
      <c r="N70">
        <f t="shared" si="8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389</v>
      </c>
      <c r="E71">
        <v>23</v>
      </c>
      <c r="F71">
        <v>380</v>
      </c>
      <c r="G71">
        <v>23</v>
      </c>
      <c r="I71">
        <f t="shared" si="9"/>
        <v>6.8999999999999999E-3</v>
      </c>
      <c r="J71">
        <v>0</v>
      </c>
      <c r="K71">
        <f t="shared" si="10"/>
        <v>1.15E-2</v>
      </c>
      <c r="L71">
        <v>0</v>
      </c>
      <c r="M71">
        <f t="shared" si="6"/>
        <v>3.7950000000000002E-3</v>
      </c>
      <c r="N71">
        <f t="shared" si="8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390</v>
      </c>
      <c r="E72">
        <v>50</v>
      </c>
      <c r="F72" s="13">
        <v>220</v>
      </c>
      <c r="G72">
        <v>8</v>
      </c>
      <c r="I72">
        <f t="shared" si="9"/>
        <v>1.4999999999999999E-2</v>
      </c>
      <c r="J72">
        <v>0</v>
      </c>
      <c r="K72">
        <f t="shared" si="10"/>
        <v>2.5000000000000001E-2</v>
      </c>
      <c r="L72">
        <v>0</v>
      </c>
      <c r="M72">
        <f t="shared" si="6"/>
        <v>8.2500000000000004E-3</v>
      </c>
      <c r="N72">
        <f t="shared" si="8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391</v>
      </c>
      <c r="E73">
        <v>122</v>
      </c>
      <c r="F73">
        <v>380</v>
      </c>
      <c r="G73" s="7">
        <v>51</v>
      </c>
      <c r="I73">
        <f t="shared" si="9"/>
        <v>3.6600000000000001E-2</v>
      </c>
      <c r="J73">
        <v>0</v>
      </c>
      <c r="K73">
        <f t="shared" si="10"/>
        <v>6.0999999999999999E-2</v>
      </c>
      <c r="L73">
        <v>0</v>
      </c>
      <c r="M73">
        <f t="shared" si="6"/>
        <v>2.0130000000000002E-2</v>
      </c>
      <c r="N73">
        <f t="shared" si="8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392</v>
      </c>
      <c r="E74">
        <v>31</v>
      </c>
      <c r="F74">
        <v>380</v>
      </c>
      <c r="G74" s="7">
        <v>17</v>
      </c>
      <c r="I74">
        <f t="shared" si="9"/>
        <v>9.2999999999999992E-3</v>
      </c>
      <c r="J74">
        <v>0</v>
      </c>
      <c r="K74">
        <f>E74/2000</f>
        <v>1.55E-2</v>
      </c>
      <c r="L74">
        <v>0</v>
      </c>
      <c r="M74">
        <f>0.33*E74/2000</f>
        <v>5.1150000000000006E-3</v>
      </c>
      <c r="N74">
        <f t="shared" si="8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393</v>
      </c>
      <c r="E75">
        <v>50</v>
      </c>
      <c r="F75">
        <v>380</v>
      </c>
      <c r="G75" s="7">
        <v>23</v>
      </c>
      <c r="I75">
        <f t="shared" si="9"/>
        <v>1.4999999999999999E-2</v>
      </c>
      <c r="J75">
        <v>0</v>
      </c>
      <c r="K75">
        <f t="shared" si="10"/>
        <v>2.5000000000000001E-2</v>
      </c>
      <c r="L75">
        <v>0</v>
      </c>
      <c r="M75">
        <f t="shared" si="6"/>
        <v>8.2500000000000004E-3</v>
      </c>
      <c r="N75">
        <f t="shared" si="8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394</v>
      </c>
      <c r="E76">
        <v>36</v>
      </c>
      <c r="F76" s="13">
        <v>220</v>
      </c>
      <c r="G76" s="7">
        <v>8</v>
      </c>
      <c r="I76">
        <f t="shared" si="9"/>
        <v>1.0799999999999999E-2</v>
      </c>
      <c r="J76">
        <v>0</v>
      </c>
      <c r="K76">
        <f t="shared" si="10"/>
        <v>1.7999999999999999E-2</v>
      </c>
      <c r="L76">
        <v>0</v>
      </c>
      <c r="M76">
        <f t="shared" ref="M76:M139" si="11">0.33*E76/2000</f>
        <v>5.94E-3</v>
      </c>
      <c r="N76">
        <f t="shared" si="8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395</v>
      </c>
      <c r="E77">
        <v>65</v>
      </c>
      <c r="F77">
        <v>380</v>
      </c>
      <c r="G77" s="7">
        <v>12</v>
      </c>
      <c r="I77">
        <f t="shared" si="9"/>
        <v>1.95E-2</v>
      </c>
      <c r="J77">
        <v>0</v>
      </c>
      <c r="K77">
        <f t="shared" si="10"/>
        <v>3.2500000000000001E-2</v>
      </c>
      <c r="L77">
        <v>0</v>
      </c>
      <c r="M77">
        <f t="shared" si="11"/>
        <v>1.0725E-2</v>
      </c>
      <c r="N77">
        <f t="shared" si="8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396</v>
      </c>
      <c r="E78">
        <v>32</v>
      </c>
      <c r="F78">
        <v>380</v>
      </c>
      <c r="G78" s="7">
        <v>14</v>
      </c>
      <c r="I78">
        <f t="shared" si="9"/>
        <v>9.5999999999999992E-3</v>
      </c>
      <c r="J78">
        <v>0</v>
      </c>
      <c r="K78">
        <f t="shared" si="10"/>
        <v>1.6E-2</v>
      </c>
      <c r="L78">
        <v>0</v>
      </c>
      <c r="M78">
        <f t="shared" si="11"/>
        <v>5.28E-3</v>
      </c>
      <c r="N78">
        <f t="shared" ref="N78:N139" si="12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397</v>
      </c>
      <c r="E79">
        <v>150</v>
      </c>
      <c r="F79">
        <v>380</v>
      </c>
      <c r="G79" s="7">
        <v>29</v>
      </c>
      <c r="I79">
        <f t="shared" si="9"/>
        <v>4.4999999999999998E-2</v>
      </c>
      <c r="J79">
        <v>0</v>
      </c>
      <c r="K79">
        <f t="shared" si="10"/>
        <v>7.4999999999999997E-2</v>
      </c>
      <c r="L79">
        <v>0</v>
      </c>
      <c r="M79">
        <f t="shared" si="11"/>
        <v>2.4750000000000001E-2</v>
      </c>
      <c r="N79">
        <f t="shared" si="12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398</v>
      </c>
      <c r="E80">
        <v>60</v>
      </c>
      <c r="F80">
        <v>380</v>
      </c>
      <c r="G80" s="7">
        <v>51</v>
      </c>
      <c r="I80">
        <f t="shared" si="9"/>
        <v>1.7999999999999999E-2</v>
      </c>
      <c r="J80">
        <v>0</v>
      </c>
      <c r="K80">
        <f t="shared" si="10"/>
        <v>0.03</v>
      </c>
      <c r="L80">
        <v>0</v>
      </c>
      <c r="M80">
        <f t="shared" si="11"/>
        <v>9.9000000000000008E-3</v>
      </c>
      <c r="N80">
        <f t="shared" si="12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399</v>
      </c>
      <c r="E81">
        <v>32</v>
      </c>
      <c r="F81">
        <v>380</v>
      </c>
      <c r="G81" s="7">
        <v>50</v>
      </c>
      <c r="I81">
        <f t="shared" ref="I81:I82" si="13">0.6*E81/2000</f>
        <v>9.5999999999999992E-3</v>
      </c>
      <c r="J81">
        <v>0</v>
      </c>
      <c r="K81">
        <f t="shared" si="10"/>
        <v>1.6E-2</v>
      </c>
      <c r="L81">
        <v>0</v>
      </c>
      <c r="M81">
        <f t="shared" si="11"/>
        <v>5.28E-3</v>
      </c>
      <c r="N81">
        <f t="shared" si="12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400</v>
      </c>
      <c r="E82" s="10">
        <v>50</v>
      </c>
      <c r="F82" s="10">
        <v>380</v>
      </c>
      <c r="G82" s="7">
        <v>48</v>
      </c>
      <c r="H82" s="10"/>
      <c r="I82">
        <f t="shared" si="13"/>
        <v>1.4999999999999999E-2</v>
      </c>
      <c r="J82">
        <v>0</v>
      </c>
      <c r="K82">
        <f t="shared" si="10"/>
        <v>2.5000000000000001E-2</v>
      </c>
      <c r="L82" s="10">
        <v>0</v>
      </c>
      <c r="M82">
        <f t="shared" si="11"/>
        <v>8.2500000000000004E-3</v>
      </c>
      <c r="N82">
        <f t="shared" si="12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401</v>
      </c>
      <c r="E83">
        <v>600</v>
      </c>
      <c r="F83">
        <v>380</v>
      </c>
      <c r="G83">
        <v>21</v>
      </c>
      <c r="I83" s="21">
        <f>0.35*K83</f>
        <v>0.105</v>
      </c>
      <c r="J83">
        <v>0</v>
      </c>
      <c r="K83">
        <f t="shared" si="10"/>
        <v>0.3</v>
      </c>
      <c r="L83">
        <v>0</v>
      </c>
      <c r="M83">
        <f t="shared" si="11"/>
        <v>9.9000000000000005E-2</v>
      </c>
      <c r="N83">
        <f t="shared" si="12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402</v>
      </c>
      <c r="E84">
        <v>129</v>
      </c>
      <c r="F84">
        <v>380</v>
      </c>
      <c r="G84">
        <v>13</v>
      </c>
      <c r="I84" s="21">
        <f t="shared" ref="I84:I109" si="14">0.35*K84</f>
        <v>2.2574999999999998E-2</v>
      </c>
      <c r="J84">
        <v>0</v>
      </c>
      <c r="K84">
        <f t="shared" si="10"/>
        <v>6.4500000000000002E-2</v>
      </c>
      <c r="L84">
        <v>0</v>
      </c>
      <c r="M84">
        <f t="shared" si="11"/>
        <v>2.1285000000000002E-2</v>
      </c>
      <c r="N84">
        <f t="shared" si="12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403</v>
      </c>
      <c r="E85">
        <v>120</v>
      </c>
      <c r="F85">
        <v>380</v>
      </c>
      <c r="G85">
        <v>12</v>
      </c>
      <c r="I85" s="21">
        <f t="shared" si="14"/>
        <v>2.0999999999999998E-2</v>
      </c>
      <c r="J85">
        <v>0</v>
      </c>
      <c r="K85">
        <f t="shared" si="10"/>
        <v>0.06</v>
      </c>
      <c r="L85">
        <v>0</v>
      </c>
      <c r="M85">
        <f t="shared" si="11"/>
        <v>1.9800000000000002E-2</v>
      </c>
      <c r="N85">
        <f t="shared" si="12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404</v>
      </c>
      <c r="E86">
        <v>108</v>
      </c>
      <c r="F86">
        <v>380</v>
      </c>
      <c r="G86">
        <v>12</v>
      </c>
      <c r="I86" s="21">
        <f t="shared" si="14"/>
        <v>1.89E-2</v>
      </c>
      <c r="J86">
        <v>0</v>
      </c>
      <c r="K86">
        <f t="shared" si="10"/>
        <v>5.3999999999999999E-2</v>
      </c>
      <c r="L86">
        <v>0</v>
      </c>
      <c r="M86">
        <f t="shared" si="11"/>
        <v>1.7819999999999999E-2</v>
      </c>
      <c r="N86">
        <f t="shared" si="12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405</v>
      </c>
      <c r="E87">
        <v>122</v>
      </c>
      <c r="F87">
        <v>380</v>
      </c>
      <c r="G87">
        <v>15</v>
      </c>
      <c r="I87" s="21">
        <f t="shared" si="14"/>
        <v>2.1349999999999997E-2</v>
      </c>
      <c r="J87">
        <v>0</v>
      </c>
      <c r="K87">
        <f t="shared" si="10"/>
        <v>6.0999999999999999E-2</v>
      </c>
      <c r="L87">
        <v>0</v>
      </c>
      <c r="M87">
        <f t="shared" si="11"/>
        <v>2.0130000000000002E-2</v>
      </c>
      <c r="N87">
        <f t="shared" si="12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406</v>
      </c>
      <c r="E88">
        <v>171</v>
      </c>
      <c r="F88" s="13">
        <v>220</v>
      </c>
      <c r="G88">
        <v>6</v>
      </c>
      <c r="I88" s="21">
        <f t="shared" si="14"/>
        <v>2.9925E-2</v>
      </c>
      <c r="J88">
        <v>0</v>
      </c>
      <c r="K88">
        <f t="shared" si="10"/>
        <v>8.5500000000000007E-2</v>
      </c>
      <c r="L88">
        <v>0</v>
      </c>
      <c r="M88">
        <f t="shared" si="11"/>
        <v>2.8215E-2</v>
      </c>
      <c r="N88">
        <f t="shared" si="12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407</v>
      </c>
      <c r="E89">
        <v>144</v>
      </c>
      <c r="F89" s="13">
        <v>220</v>
      </c>
      <c r="G89">
        <v>5</v>
      </c>
      <c r="I89" s="21">
        <f t="shared" si="14"/>
        <v>2.5199999999999997E-2</v>
      </c>
      <c r="J89">
        <v>0</v>
      </c>
      <c r="K89">
        <f t="shared" si="10"/>
        <v>7.1999999999999995E-2</v>
      </c>
      <c r="L89">
        <v>0</v>
      </c>
      <c r="M89">
        <f t="shared" si="11"/>
        <v>2.376E-2</v>
      </c>
      <c r="N89">
        <f t="shared" si="12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408</v>
      </c>
      <c r="E90">
        <v>285</v>
      </c>
      <c r="F90" s="13">
        <v>220</v>
      </c>
      <c r="G90">
        <v>5</v>
      </c>
      <c r="I90" s="21">
        <f t="shared" si="14"/>
        <v>4.9874999999999996E-2</v>
      </c>
      <c r="J90">
        <v>0</v>
      </c>
      <c r="K90">
        <f t="shared" si="10"/>
        <v>0.14249999999999999</v>
      </c>
      <c r="L90">
        <v>0</v>
      </c>
      <c r="M90">
        <f t="shared" si="11"/>
        <v>4.7025000000000004E-2</v>
      </c>
      <c r="N90">
        <f t="shared" si="12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409</v>
      </c>
      <c r="E91">
        <v>102</v>
      </c>
      <c r="F91">
        <v>380</v>
      </c>
      <c r="G91">
        <v>28</v>
      </c>
      <c r="I91" s="21">
        <f t="shared" si="14"/>
        <v>1.7849999999999998E-2</v>
      </c>
      <c r="J91">
        <v>0</v>
      </c>
      <c r="K91">
        <f t="shared" si="10"/>
        <v>5.0999999999999997E-2</v>
      </c>
      <c r="L91">
        <v>0</v>
      </c>
      <c r="M91">
        <f t="shared" si="11"/>
        <v>1.6830000000000001E-2</v>
      </c>
      <c r="N91">
        <f t="shared" si="12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410</v>
      </c>
      <c r="E92">
        <v>82.5</v>
      </c>
      <c r="F92">
        <v>380</v>
      </c>
      <c r="G92">
        <v>30</v>
      </c>
      <c r="I92" s="21">
        <f t="shared" si="14"/>
        <v>1.4437499999999999E-2</v>
      </c>
      <c r="J92">
        <v>0</v>
      </c>
      <c r="K92">
        <f t="shared" si="10"/>
        <v>4.1250000000000002E-2</v>
      </c>
      <c r="L92">
        <v>0</v>
      </c>
      <c r="M92">
        <f t="shared" si="11"/>
        <v>1.3612500000000001E-2</v>
      </c>
      <c r="N92">
        <f t="shared" si="12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411</v>
      </c>
      <c r="E93">
        <v>62.7</v>
      </c>
      <c r="F93" s="13">
        <v>220</v>
      </c>
      <c r="G93">
        <v>8</v>
      </c>
      <c r="I93" s="21">
        <f t="shared" si="14"/>
        <v>1.09725E-2</v>
      </c>
      <c r="J93">
        <v>0</v>
      </c>
      <c r="K93">
        <f t="shared" si="10"/>
        <v>3.1350000000000003E-2</v>
      </c>
      <c r="L93">
        <v>0</v>
      </c>
      <c r="M93">
        <f t="shared" si="11"/>
        <v>1.0345500000000001E-2</v>
      </c>
      <c r="N93">
        <f t="shared" si="12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412</v>
      </c>
      <c r="E94">
        <v>50.4</v>
      </c>
      <c r="F94">
        <v>380</v>
      </c>
      <c r="G94">
        <v>28</v>
      </c>
      <c r="I94" s="21">
        <f t="shared" si="14"/>
        <v>8.8199999999999997E-3</v>
      </c>
      <c r="J94">
        <v>0</v>
      </c>
      <c r="K94">
        <f t="shared" si="10"/>
        <v>2.52E-2</v>
      </c>
      <c r="L94">
        <v>0</v>
      </c>
      <c r="M94">
        <f t="shared" si="11"/>
        <v>8.3160000000000005E-3</v>
      </c>
      <c r="N94">
        <f t="shared" si="12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413</v>
      </c>
      <c r="E95">
        <v>316</v>
      </c>
      <c r="F95">
        <v>380</v>
      </c>
      <c r="G95">
        <v>29</v>
      </c>
      <c r="I95" s="21">
        <f t="shared" si="14"/>
        <v>5.5299999999999995E-2</v>
      </c>
      <c r="J95">
        <v>0</v>
      </c>
      <c r="K95">
        <f t="shared" si="10"/>
        <v>0.158</v>
      </c>
      <c r="L95">
        <v>0</v>
      </c>
      <c r="M95">
        <f t="shared" si="11"/>
        <v>5.2139999999999999E-2</v>
      </c>
      <c r="N95">
        <f t="shared" si="12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414</v>
      </c>
      <c r="E96">
        <v>84</v>
      </c>
      <c r="F96" s="13">
        <v>220</v>
      </c>
      <c r="G96">
        <v>4</v>
      </c>
      <c r="I96" s="21">
        <f t="shared" si="14"/>
        <v>1.47E-2</v>
      </c>
      <c r="J96">
        <v>0</v>
      </c>
      <c r="K96">
        <f t="shared" si="10"/>
        <v>4.2000000000000003E-2</v>
      </c>
      <c r="L96">
        <v>0</v>
      </c>
      <c r="M96">
        <f t="shared" si="11"/>
        <v>1.3860000000000001E-2</v>
      </c>
      <c r="N96">
        <f t="shared" si="12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415</v>
      </c>
      <c r="E97">
        <v>63</v>
      </c>
      <c r="F97" s="13">
        <v>220</v>
      </c>
      <c r="G97">
        <v>4</v>
      </c>
      <c r="I97" s="21">
        <f t="shared" si="14"/>
        <v>1.1025E-2</v>
      </c>
      <c r="J97">
        <v>0</v>
      </c>
      <c r="K97">
        <f t="shared" si="10"/>
        <v>3.15E-2</v>
      </c>
      <c r="L97">
        <v>0</v>
      </c>
      <c r="M97">
        <f t="shared" si="11"/>
        <v>1.0395000000000001E-2</v>
      </c>
      <c r="N97">
        <f t="shared" si="12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416</v>
      </c>
      <c r="E98" s="20">
        <v>782</v>
      </c>
      <c r="F98">
        <v>380</v>
      </c>
      <c r="G98">
        <v>29</v>
      </c>
      <c r="I98" s="21">
        <f t="shared" si="14"/>
        <v>0.13685</v>
      </c>
      <c r="J98">
        <v>0</v>
      </c>
      <c r="K98">
        <f t="shared" si="10"/>
        <v>0.39100000000000001</v>
      </c>
      <c r="L98">
        <v>0</v>
      </c>
      <c r="M98">
        <f t="shared" si="11"/>
        <v>0.12903000000000001</v>
      </c>
      <c r="N98">
        <f t="shared" si="12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417</v>
      </c>
      <c r="E99" s="20">
        <v>823</v>
      </c>
      <c r="F99">
        <v>380</v>
      </c>
      <c r="G99">
        <v>32</v>
      </c>
      <c r="I99" s="21">
        <f t="shared" si="14"/>
        <v>0.14402499999999999</v>
      </c>
      <c r="J99">
        <v>0</v>
      </c>
      <c r="K99">
        <f t="shared" si="10"/>
        <v>0.41149999999999998</v>
      </c>
      <c r="L99">
        <v>0</v>
      </c>
      <c r="M99">
        <f t="shared" si="11"/>
        <v>0.13579500000000003</v>
      </c>
      <c r="N99">
        <f t="shared" si="12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418</v>
      </c>
      <c r="E100" s="20">
        <v>669</v>
      </c>
      <c r="F100">
        <v>380</v>
      </c>
      <c r="G100">
        <v>11</v>
      </c>
      <c r="I100" s="21">
        <f t="shared" si="14"/>
        <v>0.117075</v>
      </c>
      <c r="J100">
        <v>0</v>
      </c>
      <c r="K100">
        <f t="shared" si="10"/>
        <v>0.33450000000000002</v>
      </c>
      <c r="L100">
        <v>0</v>
      </c>
      <c r="M100">
        <f t="shared" si="11"/>
        <v>0.11038500000000001</v>
      </c>
      <c r="N100">
        <f t="shared" si="12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419</v>
      </c>
      <c r="E101" s="20">
        <v>2370</v>
      </c>
      <c r="F101">
        <v>380</v>
      </c>
      <c r="G101">
        <v>25</v>
      </c>
      <c r="I101" s="21">
        <f t="shared" si="14"/>
        <v>0.41475000000000001</v>
      </c>
      <c r="J101">
        <v>0</v>
      </c>
      <c r="K101">
        <f t="shared" si="10"/>
        <v>1.1850000000000001</v>
      </c>
      <c r="L101">
        <v>0</v>
      </c>
      <c r="M101">
        <f t="shared" si="11"/>
        <v>0.39105000000000001</v>
      </c>
      <c r="N101">
        <f t="shared" si="12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420</v>
      </c>
      <c r="E102" s="20">
        <v>271</v>
      </c>
      <c r="F102">
        <v>380</v>
      </c>
      <c r="G102">
        <v>17</v>
      </c>
      <c r="I102" s="21">
        <f t="shared" si="14"/>
        <v>4.7425000000000002E-2</v>
      </c>
      <c r="J102">
        <v>0</v>
      </c>
      <c r="K102">
        <f t="shared" si="10"/>
        <v>0.13550000000000001</v>
      </c>
      <c r="L102">
        <v>0</v>
      </c>
      <c r="M102">
        <f t="shared" si="11"/>
        <v>4.4715000000000005E-2</v>
      </c>
      <c r="N102">
        <f t="shared" si="12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421</v>
      </c>
      <c r="E103" s="20">
        <v>1005</v>
      </c>
      <c r="F103" s="13">
        <v>220</v>
      </c>
      <c r="G103">
        <v>6</v>
      </c>
      <c r="I103" s="21">
        <f t="shared" si="14"/>
        <v>0.17587499999999998</v>
      </c>
      <c r="J103">
        <v>0</v>
      </c>
      <c r="K103">
        <f t="shared" si="10"/>
        <v>0.50249999999999995</v>
      </c>
      <c r="L103">
        <v>0</v>
      </c>
      <c r="M103">
        <f t="shared" si="11"/>
        <v>0.16582500000000003</v>
      </c>
      <c r="N103">
        <f t="shared" si="12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422</v>
      </c>
      <c r="E104" s="20">
        <v>677</v>
      </c>
      <c r="F104" s="13">
        <v>220</v>
      </c>
      <c r="G104">
        <v>3</v>
      </c>
      <c r="I104" s="21">
        <f t="shared" si="14"/>
        <v>0.118475</v>
      </c>
      <c r="J104">
        <v>0</v>
      </c>
      <c r="K104">
        <f t="shared" si="10"/>
        <v>0.33850000000000002</v>
      </c>
      <c r="L104">
        <v>0</v>
      </c>
      <c r="M104">
        <f t="shared" si="11"/>
        <v>0.111705</v>
      </c>
      <c r="N104">
        <f t="shared" si="12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423</v>
      </c>
      <c r="E105" s="20">
        <v>297</v>
      </c>
      <c r="F105" s="13">
        <v>220</v>
      </c>
      <c r="G105">
        <v>9</v>
      </c>
      <c r="I105" s="21">
        <f t="shared" si="14"/>
        <v>5.1974999999999993E-2</v>
      </c>
      <c r="J105">
        <v>0</v>
      </c>
      <c r="K105">
        <f t="shared" si="10"/>
        <v>0.14849999999999999</v>
      </c>
      <c r="L105">
        <v>0</v>
      </c>
      <c r="M105">
        <f t="shared" si="11"/>
        <v>4.9005E-2</v>
      </c>
      <c r="N105">
        <f t="shared" si="12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424</v>
      </c>
      <c r="E106" s="20">
        <v>95</v>
      </c>
      <c r="F106">
        <v>380</v>
      </c>
      <c r="G106">
        <v>34</v>
      </c>
      <c r="I106" s="21">
        <f t="shared" si="14"/>
        <v>1.6624999999999997E-2</v>
      </c>
      <c r="J106">
        <v>0</v>
      </c>
      <c r="K106">
        <f t="shared" si="10"/>
        <v>4.7500000000000001E-2</v>
      </c>
      <c r="L106">
        <v>0</v>
      </c>
      <c r="M106">
        <f t="shared" si="11"/>
        <v>1.5675000000000001E-2</v>
      </c>
      <c r="N106">
        <f t="shared" si="12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425</v>
      </c>
      <c r="E107" s="20">
        <v>137</v>
      </c>
      <c r="F107">
        <v>380</v>
      </c>
      <c r="G107">
        <v>26</v>
      </c>
      <c r="I107" s="21">
        <f t="shared" si="14"/>
        <v>2.3975E-2</v>
      </c>
      <c r="J107">
        <v>0</v>
      </c>
      <c r="K107">
        <f t="shared" si="10"/>
        <v>6.8500000000000005E-2</v>
      </c>
      <c r="L107">
        <v>0</v>
      </c>
      <c r="M107">
        <f t="shared" si="11"/>
        <v>2.2605E-2</v>
      </c>
      <c r="N107">
        <f t="shared" si="12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426</v>
      </c>
      <c r="E108" s="20">
        <v>465</v>
      </c>
      <c r="F108">
        <v>380</v>
      </c>
      <c r="G108">
        <v>22</v>
      </c>
      <c r="I108" s="21">
        <f t="shared" si="14"/>
        <v>8.1375000000000003E-2</v>
      </c>
      <c r="J108">
        <v>0</v>
      </c>
      <c r="K108">
        <f t="shared" si="10"/>
        <v>0.23250000000000001</v>
      </c>
      <c r="L108">
        <v>0</v>
      </c>
      <c r="M108">
        <f t="shared" si="11"/>
        <v>7.6725000000000015E-2</v>
      </c>
      <c r="N108">
        <f t="shared" si="12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427</v>
      </c>
      <c r="E109" s="20">
        <v>37</v>
      </c>
      <c r="F109">
        <v>380</v>
      </c>
      <c r="G109">
        <v>10</v>
      </c>
      <c r="I109" s="21">
        <f t="shared" si="14"/>
        <v>6.474999999999999E-3</v>
      </c>
      <c r="J109">
        <v>0</v>
      </c>
      <c r="K109">
        <f t="shared" si="10"/>
        <v>1.8499999999999999E-2</v>
      </c>
      <c r="L109">
        <v>0</v>
      </c>
      <c r="M109">
        <f t="shared" si="11"/>
        <v>6.1050000000000002E-3</v>
      </c>
      <c r="N109">
        <f t="shared" si="12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428</v>
      </c>
      <c r="E110">
        <v>110</v>
      </c>
      <c r="F110" s="13">
        <v>220</v>
      </c>
      <c r="G110">
        <v>4</v>
      </c>
      <c r="I110" s="22">
        <f>0.1*K110</f>
        <v>5.5000000000000005E-3</v>
      </c>
      <c r="J110">
        <v>0</v>
      </c>
      <c r="K110">
        <f t="shared" si="10"/>
        <v>5.5E-2</v>
      </c>
      <c r="L110">
        <v>0</v>
      </c>
      <c r="M110">
        <f t="shared" si="11"/>
        <v>1.8150000000000003E-2</v>
      </c>
      <c r="N110">
        <f t="shared" si="12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429</v>
      </c>
      <c r="E111">
        <v>102</v>
      </c>
      <c r="F111" s="13">
        <v>220</v>
      </c>
      <c r="G111">
        <v>4</v>
      </c>
      <c r="I111" s="22">
        <f t="shared" ref="I111:I125" si="15">0.1*K111</f>
        <v>5.1000000000000004E-3</v>
      </c>
      <c r="J111">
        <v>0</v>
      </c>
      <c r="K111">
        <f t="shared" si="10"/>
        <v>5.0999999999999997E-2</v>
      </c>
      <c r="L111">
        <v>0</v>
      </c>
      <c r="M111">
        <f t="shared" si="11"/>
        <v>1.6830000000000001E-2</v>
      </c>
      <c r="N111">
        <f t="shared" si="12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430</v>
      </c>
      <c r="E112">
        <v>64</v>
      </c>
      <c r="F112" s="13">
        <v>220</v>
      </c>
      <c r="G112">
        <v>4</v>
      </c>
      <c r="I112" s="22">
        <f t="shared" si="15"/>
        <v>3.2000000000000002E-3</v>
      </c>
      <c r="J112">
        <v>0</v>
      </c>
      <c r="K112">
        <f t="shared" si="10"/>
        <v>3.2000000000000001E-2</v>
      </c>
      <c r="L112">
        <v>0</v>
      </c>
      <c r="M112">
        <f t="shared" si="11"/>
        <v>1.056E-2</v>
      </c>
      <c r="N112">
        <f t="shared" si="12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431</v>
      </c>
      <c r="E113">
        <v>54.5</v>
      </c>
      <c r="F113">
        <v>380</v>
      </c>
      <c r="G113">
        <v>11</v>
      </c>
      <c r="I113" s="22">
        <f t="shared" si="15"/>
        <v>2.725E-3</v>
      </c>
      <c r="J113">
        <v>0</v>
      </c>
      <c r="K113">
        <f t="shared" si="10"/>
        <v>2.725E-2</v>
      </c>
      <c r="L113">
        <v>0</v>
      </c>
      <c r="M113">
        <f t="shared" si="11"/>
        <v>8.9925000000000005E-3</v>
      </c>
      <c r="N113">
        <f t="shared" si="12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432</v>
      </c>
      <c r="E114">
        <v>7220</v>
      </c>
      <c r="F114">
        <v>380</v>
      </c>
      <c r="G114">
        <v>29</v>
      </c>
      <c r="I114" s="22">
        <f t="shared" si="15"/>
        <v>0.36099999999999999</v>
      </c>
      <c r="J114">
        <v>0</v>
      </c>
      <c r="K114">
        <f t="shared" si="10"/>
        <v>3.61</v>
      </c>
      <c r="L114">
        <v>0</v>
      </c>
      <c r="M114">
        <f t="shared" si="11"/>
        <v>1.1913</v>
      </c>
      <c r="N114">
        <f t="shared" si="12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433</v>
      </c>
      <c r="E115">
        <v>9289</v>
      </c>
      <c r="F115">
        <v>380</v>
      </c>
      <c r="G115">
        <v>32</v>
      </c>
      <c r="I115" s="22">
        <f t="shared" si="15"/>
        <v>0.46445000000000003</v>
      </c>
      <c r="J115">
        <v>0</v>
      </c>
      <c r="K115">
        <f t="shared" si="10"/>
        <v>4.6444999999999999</v>
      </c>
      <c r="L115">
        <v>0</v>
      </c>
      <c r="M115">
        <f t="shared" si="11"/>
        <v>1.5326850000000001</v>
      </c>
      <c r="N115">
        <f t="shared" si="12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434</v>
      </c>
      <c r="E116">
        <v>3066</v>
      </c>
      <c r="F116">
        <v>380</v>
      </c>
      <c r="G116">
        <v>11</v>
      </c>
      <c r="I116" s="22">
        <f t="shared" si="15"/>
        <v>0.15329999999999999</v>
      </c>
      <c r="J116">
        <v>0</v>
      </c>
      <c r="K116">
        <f t="shared" si="10"/>
        <v>1.5329999999999999</v>
      </c>
      <c r="L116">
        <v>0</v>
      </c>
      <c r="M116">
        <f t="shared" si="11"/>
        <v>0.50589000000000006</v>
      </c>
      <c r="N116">
        <f t="shared" si="12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435</v>
      </c>
      <c r="E117">
        <v>3532</v>
      </c>
      <c r="F117">
        <v>380</v>
      </c>
      <c r="G117">
        <v>25</v>
      </c>
      <c r="I117" s="22">
        <f t="shared" si="15"/>
        <v>0.17660000000000001</v>
      </c>
      <c r="J117">
        <v>0</v>
      </c>
      <c r="K117">
        <f t="shared" si="10"/>
        <v>1.766</v>
      </c>
      <c r="L117">
        <v>0</v>
      </c>
      <c r="M117">
        <f t="shared" si="11"/>
        <v>0.58277999999999996</v>
      </c>
      <c r="N117">
        <f t="shared" si="12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436</v>
      </c>
      <c r="E118">
        <v>10548</v>
      </c>
      <c r="F118">
        <v>380</v>
      </c>
      <c r="G118">
        <v>17</v>
      </c>
      <c r="I118" s="22">
        <f t="shared" si="15"/>
        <v>0.52739999999999998</v>
      </c>
      <c r="J118">
        <v>0</v>
      </c>
      <c r="K118">
        <f t="shared" si="10"/>
        <v>5.274</v>
      </c>
      <c r="L118">
        <v>0</v>
      </c>
      <c r="M118">
        <f t="shared" si="11"/>
        <v>1.7404200000000001</v>
      </c>
      <c r="N118">
        <f t="shared" si="12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437</v>
      </c>
      <c r="E119">
        <v>5143</v>
      </c>
      <c r="F119" s="13">
        <v>220</v>
      </c>
      <c r="G119">
        <v>6</v>
      </c>
      <c r="I119" s="22">
        <f t="shared" si="15"/>
        <v>0.25714999999999999</v>
      </c>
      <c r="J119">
        <v>0</v>
      </c>
      <c r="K119">
        <f t="shared" si="10"/>
        <v>2.5714999999999999</v>
      </c>
      <c r="L119">
        <v>0</v>
      </c>
      <c r="M119">
        <f t="shared" si="11"/>
        <v>0.84859499999999999</v>
      </c>
      <c r="N119">
        <f t="shared" si="12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438</v>
      </c>
      <c r="E120">
        <v>3919</v>
      </c>
      <c r="F120" s="13">
        <v>220</v>
      </c>
      <c r="G120">
        <v>3</v>
      </c>
      <c r="I120" s="22">
        <f t="shared" si="15"/>
        <v>0.19595000000000001</v>
      </c>
      <c r="J120">
        <v>0</v>
      </c>
      <c r="K120">
        <f t="shared" si="10"/>
        <v>1.9595</v>
      </c>
      <c r="L120">
        <v>0</v>
      </c>
      <c r="M120">
        <f t="shared" si="11"/>
        <v>0.64663499999999996</v>
      </c>
      <c r="N120">
        <f t="shared" si="12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439</v>
      </c>
      <c r="E121">
        <v>5089</v>
      </c>
      <c r="F121" s="13">
        <v>220</v>
      </c>
      <c r="G121">
        <v>9</v>
      </c>
      <c r="I121" s="22">
        <f t="shared" si="15"/>
        <v>0.25445000000000001</v>
      </c>
      <c r="J121">
        <v>0</v>
      </c>
      <c r="K121">
        <f t="shared" si="10"/>
        <v>2.5445000000000002</v>
      </c>
      <c r="L121">
        <v>0</v>
      </c>
      <c r="M121">
        <f t="shared" si="11"/>
        <v>0.83968500000000001</v>
      </c>
      <c r="N121">
        <f t="shared" si="12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440</v>
      </c>
      <c r="E122">
        <v>6301</v>
      </c>
      <c r="F122">
        <v>380</v>
      </c>
      <c r="G122">
        <v>34</v>
      </c>
      <c r="I122" s="22">
        <f t="shared" si="15"/>
        <v>0.31505000000000005</v>
      </c>
      <c r="J122">
        <v>0</v>
      </c>
      <c r="K122">
        <f t="shared" si="10"/>
        <v>3.1505000000000001</v>
      </c>
      <c r="L122">
        <v>0</v>
      </c>
      <c r="M122">
        <f t="shared" si="11"/>
        <v>1.0396650000000001</v>
      </c>
      <c r="N122">
        <f t="shared" si="12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441</v>
      </c>
      <c r="E123">
        <v>5939</v>
      </c>
      <c r="F123">
        <v>380</v>
      </c>
      <c r="G123">
        <v>26</v>
      </c>
      <c r="I123" s="22">
        <f t="shared" si="15"/>
        <v>0.29694999999999999</v>
      </c>
      <c r="J123">
        <v>0</v>
      </c>
      <c r="K123">
        <f t="shared" si="10"/>
        <v>2.9695</v>
      </c>
      <c r="L123">
        <v>0</v>
      </c>
      <c r="M123">
        <f t="shared" si="11"/>
        <v>0.97993500000000011</v>
      </c>
      <c r="N123">
        <f t="shared" si="12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442</v>
      </c>
      <c r="E124">
        <v>13039</v>
      </c>
      <c r="F124">
        <v>380</v>
      </c>
      <c r="G124">
        <v>22</v>
      </c>
      <c r="I124" s="22">
        <f t="shared" si="15"/>
        <v>0.65195000000000003</v>
      </c>
      <c r="J124">
        <v>0</v>
      </c>
      <c r="K124">
        <f t="shared" si="10"/>
        <v>6.5194999999999999</v>
      </c>
      <c r="L124">
        <v>0</v>
      </c>
      <c r="M124">
        <f t="shared" si="11"/>
        <v>2.1514349999999998</v>
      </c>
      <c r="N124">
        <f t="shared" si="12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443</v>
      </c>
      <c r="E125">
        <v>4260</v>
      </c>
      <c r="F125">
        <v>380</v>
      </c>
      <c r="G125">
        <v>10</v>
      </c>
      <c r="I125" s="22">
        <f t="shared" si="15"/>
        <v>0.21299999999999999</v>
      </c>
      <c r="J125">
        <v>0</v>
      </c>
      <c r="K125">
        <f t="shared" si="10"/>
        <v>2.13</v>
      </c>
      <c r="L125">
        <v>0</v>
      </c>
      <c r="M125">
        <f t="shared" si="11"/>
        <v>0.70289999999999997</v>
      </c>
      <c r="N125">
        <f t="shared" si="12"/>
        <v>-0.70289999999999997</v>
      </c>
      <c r="O125">
        <v>1</v>
      </c>
    </row>
    <row r="126" spans="1:17" x14ac:dyDescent="0.25">
      <c r="A126" s="11">
        <v>124</v>
      </c>
      <c r="B126">
        <v>124</v>
      </c>
      <c r="C126">
        <v>1</v>
      </c>
      <c r="D126" t="s">
        <v>444</v>
      </c>
      <c r="E126">
        <v>760</v>
      </c>
      <c r="F126">
        <v>380</v>
      </c>
      <c r="G126" s="7">
        <v>28</v>
      </c>
      <c r="I126" s="21">
        <f>0.35*K126</f>
        <v>0.13299999999999998</v>
      </c>
      <c r="J126">
        <v>0</v>
      </c>
      <c r="K126">
        <f t="shared" si="10"/>
        <v>0.38</v>
      </c>
      <c r="L126">
        <v>0</v>
      </c>
      <c r="M126">
        <f t="shared" si="11"/>
        <v>0.12540000000000001</v>
      </c>
      <c r="N126">
        <f t="shared" si="12"/>
        <v>-0.12540000000000001</v>
      </c>
      <c r="O126">
        <v>1</v>
      </c>
    </row>
    <row r="127" spans="1:17" x14ac:dyDescent="0.25">
      <c r="A127" s="11">
        <v>125</v>
      </c>
      <c r="B127">
        <v>125</v>
      </c>
      <c r="C127">
        <v>1</v>
      </c>
      <c r="D127" t="s">
        <v>445</v>
      </c>
      <c r="E127">
        <v>760</v>
      </c>
      <c r="F127">
        <v>380</v>
      </c>
      <c r="G127" s="7">
        <v>28</v>
      </c>
      <c r="I127" s="21">
        <f t="shared" ref="I127:I143" si="16">0.35*K127</f>
        <v>0.13299999999999998</v>
      </c>
      <c r="J127">
        <v>0</v>
      </c>
      <c r="K127">
        <f t="shared" si="10"/>
        <v>0.38</v>
      </c>
      <c r="L127">
        <v>0</v>
      </c>
      <c r="M127">
        <f t="shared" si="11"/>
        <v>0.12540000000000001</v>
      </c>
      <c r="N127">
        <f t="shared" si="12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446</v>
      </c>
      <c r="E128">
        <v>759</v>
      </c>
      <c r="F128">
        <v>380</v>
      </c>
      <c r="G128" s="7">
        <v>12</v>
      </c>
      <c r="I128" s="21">
        <f t="shared" si="16"/>
        <v>0.132825</v>
      </c>
      <c r="J128">
        <v>0</v>
      </c>
      <c r="K128">
        <f t="shared" si="10"/>
        <v>0.3795</v>
      </c>
      <c r="L128">
        <v>0</v>
      </c>
      <c r="M128">
        <f t="shared" si="11"/>
        <v>0.12523500000000001</v>
      </c>
      <c r="N128">
        <f t="shared" si="12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447</v>
      </c>
      <c r="E129">
        <v>756</v>
      </c>
      <c r="F129">
        <v>380</v>
      </c>
      <c r="G129" s="7">
        <v>12</v>
      </c>
      <c r="I129" s="21">
        <f t="shared" si="16"/>
        <v>0.1323</v>
      </c>
      <c r="J129">
        <v>0</v>
      </c>
      <c r="K129">
        <f t="shared" si="10"/>
        <v>0.378</v>
      </c>
      <c r="L129">
        <v>0</v>
      </c>
      <c r="M129">
        <f t="shared" si="11"/>
        <v>0.12474</v>
      </c>
      <c r="N129">
        <f t="shared" si="12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448</v>
      </c>
      <c r="E130">
        <v>700</v>
      </c>
      <c r="F130">
        <v>380</v>
      </c>
      <c r="G130" s="7">
        <v>12</v>
      </c>
      <c r="I130" s="21">
        <f t="shared" si="16"/>
        <v>0.12249999999999998</v>
      </c>
      <c r="J130">
        <v>0</v>
      </c>
      <c r="K130">
        <f t="shared" si="10"/>
        <v>0.35</v>
      </c>
      <c r="L130">
        <v>0</v>
      </c>
      <c r="M130">
        <f t="shared" si="11"/>
        <v>0.11550000000000001</v>
      </c>
      <c r="N130">
        <f t="shared" si="12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449</v>
      </c>
      <c r="E131">
        <v>580</v>
      </c>
      <c r="F131">
        <v>380</v>
      </c>
      <c r="G131" s="7">
        <v>12</v>
      </c>
      <c r="I131" s="21">
        <f t="shared" si="16"/>
        <v>0.10149999999999999</v>
      </c>
      <c r="J131">
        <v>0</v>
      </c>
      <c r="K131">
        <f t="shared" ref="K131:K171" si="17">E131/2000</f>
        <v>0.28999999999999998</v>
      </c>
      <c r="L131">
        <v>0</v>
      </c>
      <c r="M131">
        <f t="shared" si="11"/>
        <v>9.5700000000000007E-2</v>
      </c>
      <c r="N131">
        <f t="shared" si="12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450</v>
      </c>
      <c r="E132">
        <v>752</v>
      </c>
      <c r="F132">
        <v>380</v>
      </c>
      <c r="G132" s="7">
        <v>11</v>
      </c>
      <c r="I132" s="21">
        <f t="shared" si="16"/>
        <v>0.13159999999999999</v>
      </c>
      <c r="J132">
        <v>0</v>
      </c>
      <c r="K132">
        <f t="shared" si="17"/>
        <v>0.376</v>
      </c>
      <c r="L132">
        <v>0</v>
      </c>
      <c r="M132">
        <f t="shared" si="11"/>
        <v>0.12408000000000001</v>
      </c>
      <c r="N132">
        <f t="shared" si="12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451</v>
      </c>
      <c r="E133">
        <v>731.5</v>
      </c>
      <c r="F133">
        <v>380</v>
      </c>
      <c r="G133" s="7">
        <v>11</v>
      </c>
      <c r="I133" s="21">
        <f t="shared" si="16"/>
        <v>0.1280125</v>
      </c>
      <c r="J133">
        <v>0</v>
      </c>
      <c r="K133">
        <f t="shared" si="17"/>
        <v>0.36575000000000002</v>
      </c>
      <c r="L133">
        <v>0</v>
      </c>
      <c r="M133">
        <f t="shared" si="11"/>
        <v>0.1206975</v>
      </c>
      <c r="N133">
        <f t="shared" si="12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452</v>
      </c>
      <c r="E134">
        <v>19</v>
      </c>
      <c r="F134">
        <v>380</v>
      </c>
      <c r="G134" s="7">
        <v>11</v>
      </c>
      <c r="I134" s="21">
        <f t="shared" si="16"/>
        <v>3.3249999999999998E-3</v>
      </c>
      <c r="J134">
        <v>0</v>
      </c>
      <c r="K134">
        <f t="shared" si="17"/>
        <v>9.4999999999999998E-3</v>
      </c>
      <c r="L134">
        <v>0</v>
      </c>
      <c r="M134">
        <f t="shared" si="11"/>
        <v>3.1350000000000002E-3</v>
      </c>
      <c r="N134">
        <f t="shared" si="12"/>
        <v>-3.1350000000000002E-3</v>
      </c>
      <c r="O134">
        <v>1</v>
      </c>
    </row>
    <row r="135" spans="1:15" x14ac:dyDescent="0.25">
      <c r="A135" s="11">
        <v>133</v>
      </c>
      <c r="B135">
        <v>133</v>
      </c>
      <c r="C135">
        <v>1</v>
      </c>
      <c r="D135" t="s">
        <v>453</v>
      </c>
      <c r="E135">
        <v>2000</v>
      </c>
      <c r="F135">
        <v>380</v>
      </c>
      <c r="G135" s="7">
        <v>28</v>
      </c>
      <c r="I135" s="21">
        <f t="shared" si="16"/>
        <v>0.35</v>
      </c>
      <c r="J135">
        <v>0</v>
      </c>
      <c r="K135">
        <f t="shared" si="17"/>
        <v>1</v>
      </c>
      <c r="L135">
        <v>0</v>
      </c>
      <c r="M135">
        <f t="shared" si="11"/>
        <v>0.33</v>
      </c>
      <c r="N135">
        <f t="shared" si="12"/>
        <v>-0.33</v>
      </c>
      <c r="O135">
        <v>1</v>
      </c>
    </row>
    <row r="136" spans="1:15" x14ac:dyDescent="0.25">
      <c r="A136" s="11">
        <v>134</v>
      </c>
      <c r="B136">
        <v>134</v>
      </c>
      <c r="C136">
        <v>1</v>
      </c>
      <c r="D136" t="s">
        <v>454</v>
      </c>
      <c r="E136">
        <v>2000</v>
      </c>
      <c r="F136">
        <v>380</v>
      </c>
      <c r="G136" s="7">
        <v>11</v>
      </c>
      <c r="I136" s="21">
        <f t="shared" si="16"/>
        <v>0.35</v>
      </c>
      <c r="J136">
        <v>0</v>
      </c>
      <c r="K136">
        <f t="shared" si="17"/>
        <v>1</v>
      </c>
      <c r="L136">
        <v>0</v>
      </c>
      <c r="M136">
        <f t="shared" si="11"/>
        <v>0.33</v>
      </c>
      <c r="N136">
        <f t="shared" si="12"/>
        <v>-0.33</v>
      </c>
      <c r="O136">
        <v>1</v>
      </c>
    </row>
    <row r="137" spans="1:15" x14ac:dyDescent="0.25">
      <c r="A137" s="11">
        <v>135</v>
      </c>
      <c r="B137">
        <v>135</v>
      </c>
      <c r="C137">
        <v>1</v>
      </c>
      <c r="D137" t="s">
        <v>455</v>
      </c>
      <c r="E137">
        <v>2000</v>
      </c>
      <c r="F137">
        <v>380</v>
      </c>
      <c r="G137" s="7">
        <v>28</v>
      </c>
      <c r="I137" s="21">
        <f t="shared" si="16"/>
        <v>0.35</v>
      </c>
      <c r="J137">
        <v>0</v>
      </c>
      <c r="K137">
        <f t="shared" si="17"/>
        <v>1</v>
      </c>
      <c r="L137">
        <v>0</v>
      </c>
      <c r="M137">
        <f t="shared" si="11"/>
        <v>0.33</v>
      </c>
      <c r="N137">
        <f t="shared" si="12"/>
        <v>-0.33</v>
      </c>
      <c r="O137">
        <v>1</v>
      </c>
    </row>
    <row r="138" spans="1:15" x14ac:dyDescent="0.25">
      <c r="A138" s="11">
        <v>136</v>
      </c>
      <c r="B138">
        <v>136</v>
      </c>
      <c r="C138">
        <v>1</v>
      </c>
      <c r="D138" t="s">
        <v>487</v>
      </c>
      <c r="E138">
        <v>3000</v>
      </c>
      <c r="F138">
        <v>380</v>
      </c>
      <c r="G138" s="7">
        <v>22</v>
      </c>
      <c r="I138" s="21">
        <f t="shared" si="16"/>
        <v>0.52499999999999991</v>
      </c>
      <c r="J138">
        <v>0</v>
      </c>
      <c r="K138">
        <f t="shared" si="17"/>
        <v>1.5</v>
      </c>
      <c r="L138">
        <v>0</v>
      </c>
      <c r="M138">
        <f t="shared" si="11"/>
        <v>0.495</v>
      </c>
      <c r="N138">
        <f t="shared" si="12"/>
        <v>-0.495</v>
      </c>
      <c r="O138">
        <v>1</v>
      </c>
    </row>
    <row r="139" spans="1:15" x14ac:dyDescent="0.25">
      <c r="A139" s="11">
        <v>137</v>
      </c>
      <c r="B139">
        <v>137</v>
      </c>
      <c r="C139">
        <v>1</v>
      </c>
      <c r="D139" t="s">
        <v>488</v>
      </c>
      <c r="E139">
        <v>3000</v>
      </c>
      <c r="F139">
        <v>380</v>
      </c>
      <c r="G139" s="7">
        <v>22</v>
      </c>
      <c r="I139" s="21">
        <f t="shared" si="16"/>
        <v>0.52499999999999991</v>
      </c>
      <c r="J139">
        <v>0</v>
      </c>
      <c r="K139">
        <f t="shared" si="17"/>
        <v>1.5</v>
      </c>
      <c r="L139">
        <v>0</v>
      </c>
      <c r="M139">
        <f t="shared" si="11"/>
        <v>0.495</v>
      </c>
      <c r="N139">
        <f t="shared" si="12"/>
        <v>-0.495</v>
      </c>
      <c r="O139">
        <v>1</v>
      </c>
    </row>
    <row r="140" spans="1:15" x14ac:dyDescent="0.25">
      <c r="A140" s="11">
        <v>138</v>
      </c>
      <c r="B140">
        <v>138</v>
      </c>
      <c r="C140">
        <v>1</v>
      </c>
      <c r="D140" t="s">
        <v>456</v>
      </c>
      <c r="E140">
        <v>4000</v>
      </c>
      <c r="F140">
        <v>380</v>
      </c>
      <c r="G140" s="7">
        <v>21</v>
      </c>
      <c r="I140" s="21">
        <f t="shared" si="16"/>
        <v>0.7</v>
      </c>
      <c r="J140">
        <v>0</v>
      </c>
      <c r="K140">
        <f t="shared" si="17"/>
        <v>2</v>
      </c>
      <c r="L140">
        <v>0</v>
      </c>
      <c r="M140">
        <f t="shared" ref="M140:M171" si="18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457</v>
      </c>
      <c r="E141">
        <v>80</v>
      </c>
      <c r="F141">
        <v>380</v>
      </c>
      <c r="G141" s="7">
        <v>51</v>
      </c>
      <c r="I141" s="21">
        <f t="shared" si="16"/>
        <v>1.3999999999999999E-2</v>
      </c>
      <c r="J141">
        <v>0</v>
      </c>
      <c r="K141">
        <f t="shared" si="17"/>
        <v>0.04</v>
      </c>
      <c r="L141">
        <v>0</v>
      </c>
      <c r="M141">
        <f t="shared" si="18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458</v>
      </c>
      <c r="E142">
        <v>60</v>
      </c>
      <c r="F142">
        <v>380</v>
      </c>
      <c r="G142" s="7">
        <v>25</v>
      </c>
      <c r="I142" s="21">
        <f t="shared" si="16"/>
        <v>1.0499999999999999E-2</v>
      </c>
      <c r="J142">
        <v>0</v>
      </c>
      <c r="K142">
        <f t="shared" si="17"/>
        <v>0.03</v>
      </c>
      <c r="L142">
        <v>0</v>
      </c>
      <c r="M142">
        <f t="shared" si="18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459</v>
      </c>
      <c r="E143">
        <v>50</v>
      </c>
      <c r="F143">
        <v>380</v>
      </c>
      <c r="G143" s="7">
        <v>47</v>
      </c>
      <c r="I143" s="21">
        <f t="shared" si="16"/>
        <v>8.7499999999999991E-3</v>
      </c>
      <c r="J143">
        <v>0</v>
      </c>
      <c r="K143">
        <f t="shared" si="17"/>
        <v>2.5000000000000001E-2</v>
      </c>
      <c r="L143">
        <v>0</v>
      </c>
      <c r="M143">
        <f t="shared" si="18"/>
        <v>8.2500000000000004E-3</v>
      </c>
      <c r="N143">
        <f t="shared" ref="N143:N171" si="19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460</v>
      </c>
      <c r="E144">
        <v>89</v>
      </c>
      <c r="F144">
        <v>380</v>
      </c>
      <c r="G144" s="7">
        <v>47</v>
      </c>
      <c r="I144" s="22">
        <f>0.1*K144</f>
        <v>4.45E-3</v>
      </c>
      <c r="J144">
        <v>0</v>
      </c>
      <c r="K144">
        <f t="shared" si="17"/>
        <v>4.4499999999999998E-2</v>
      </c>
      <c r="L144">
        <v>0</v>
      </c>
      <c r="M144">
        <f t="shared" si="18"/>
        <v>1.4685E-2</v>
      </c>
      <c r="N144">
        <f t="shared" si="19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461</v>
      </c>
      <c r="E145">
        <v>55</v>
      </c>
      <c r="F145">
        <v>380</v>
      </c>
      <c r="G145" s="7">
        <v>25</v>
      </c>
      <c r="I145" s="22">
        <f t="shared" ref="I145:I171" si="20">0.1*K145</f>
        <v>2.7500000000000003E-3</v>
      </c>
      <c r="J145">
        <v>0</v>
      </c>
      <c r="K145">
        <f t="shared" si="17"/>
        <v>2.75E-2</v>
      </c>
      <c r="L145">
        <v>0</v>
      </c>
      <c r="M145">
        <f t="shared" si="18"/>
        <v>9.0750000000000015E-3</v>
      </c>
      <c r="N145">
        <f t="shared" si="19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462</v>
      </c>
      <c r="E146">
        <v>148</v>
      </c>
      <c r="F146">
        <v>380</v>
      </c>
      <c r="G146" s="7">
        <v>25</v>
      </c>
      <c r="I146" s="22">
        <f t="shared" si="20"/>
        <v>7.4000000000000003E-3</v>
      </c>
      <c r="J146">
        <v>0</v>
      </c>
      <c r="K146">
        <f t="shared" si="17"/>
        <v>7.3999999999999996E-2</v>
      </c>
      <c r="L146">
        <v>0</v>
      </c>
      <c r="M146">
        <f t="shared" si="18"/>
        <v>2.4420000000000001E-2</v>
      </c>
      <c r="N146">
        <f t="shared" si="19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463</v>
      </c>
      <c r="E147">
        <v>50</v>
      </c>
      <c r="F147">
        <v>380</v>
      </c>
      <c r="G147" s="7">
        <v>46</v>
      </c>
      <c r="I147" s="22">
        <f t="shared" si="20"/>
        <v>2.5000000000000005E-3</v>
      </c>
      <c r="J147">
        <v>0</v>
      </c>
      <c r="K147">
        <f t="shared" si="17"/>
        <v>2.5000000000000001E-2</v>
      </c>
      <c r="L147">
        <v>0</v>
      </c>
      <c r="M147">
        <f t="shared" si="18"/>
        <v>8.2500000000000004E-3</v>
      </c>
      <c r="N147">
        <f t="shared" si="19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464</v>
      </c>
      <c r="E148">
        <v>80</v>
      </c>
      <c r="F148">
        <v>380</v>
      </c>
      <c r="G148" s="7">
        <v>16</v>
      </c>
      <c r="I148" s="22">
        <f t="shared" si="20"/>
        <v>4.0000000000000001E-3</v>
      </c>
      <c r="J148">
        <v>0</v>
      </c>
      <c r="K148">
        <f t="shared" si="17"/>
        <v>0.04</v>
      </c>
      <c r="L148">
        <v>0</v>
      </c>
      <c r="M148">
        <f t="shared" si="18"/>
        <v>1.3200000000000002E-2</v>
      </c>
      <c r="N148">
        <f t="shared" si="19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465</v>
      </c>
      <c r="E149">
        <v>61</v>
      </c>
      <c r="F149">
        <v>380</v>
      </c>
      <c r="G149" s="7">
        <v>45</v>
      </c>
      <c r="I149" s="22">
        <f t="shared" si="20"/>
        <v>3.0500000000000002E-3</v>
      </c>
      <c r="J149">
        <v>0</v>
      </c>
      <c r="K149">
        <f t="shared" si="17"/>
        <v>3.0499999999999999E-2</v>
      </c>
      <c r="L149">
        <v>0</v>
      </c>
      <c r="M149">
        <f t="shared" si="18"/>
        <v>1.0065000000000001E-2</v>
      </c>
      <c r="N149">
        <f t="shared" si="19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466</v>
      </c>
      <c r="E150">
        <v>74</v>
      </c>
      <c r="F150">
        <v>380</v>
      </c>
      <c r="G150" s="7">
        <v>23</v>
      </c>
      <c r="I150" s="22">
        <f>0.1*K150</f>
        <v>3.7000000000000002E-3</v>
      </c>
      <c r="J150">
        <v>0</v>
      </c>
      <c r="K150">
        <f t="shared" si="17"/>
        <v>3.6999999999999998E-2</v>
      </c>
      <c r="L150">
        <v>0</v>
      </c>
      <c r="M150">
        <f t="shared" si="18"/>
        <v>1.221E-2</v>
      </c>
      <c r="N150">
        <f t="shared" si="19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467</v>
      </c>
      <c r="E151">
        <v>55</v>
      </c>
      <c r="F151">
        <v>380</v>
      </c>
      <c r="G151" s="7">
        <v>23</v>
      </c>
      <c r="I151" s="22">
        <f t="shared" si="20"/>
        <v>2.7500000000000003E-3</v>
      </c>
      <c r="J151">
        <v>0</v>
      </c>
      <c r="K151">
        <f t="shared" si="17"/>
        <v>2.75E-2</v>
      </c>
      <c r="L151">
        <v>0</v>
      </c>
      <c r="M151">
        <f t="shared" si="18"/>
        <v>9.0750000000000015E-3</v>
      </c>
      <c r="N151">
        <f t="shared" si="19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468</v>
      </c>
      <c r="E152">
        <v>55</v>
      </c>
      <c r="F152">
        <v>380</v>
      </c>
      <c r="G152" s="7">
        <v>20</v>
      </c>
      <c r="I152" s="22">
        <f t="shared" si="20"/>
        <v>2.7500000000000003E-3</v>
      </c>
      <c r="J152">
        <v>0</v>
      </c>
      <c r="K152">
        <f t="shared" si="17"/>
        <v>2.75E-2</v>
      </c>
      <c r="L152">
        <v>0</v>
      </c>
      <c r="M152">
        <f t="shared" si="18"/>
        <v>9.0750000000000015E-3</v>
      </c>
      <c r="N152">
        <f t="shared" si="19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469</v>
      </c>
      <c r="E153">
        <v>75</v>
      </c>
      <c r="F153">
        <v>380</v>
      </c>
      <c r="G153" s="7">
        <v>19</v>
      </c>
      <c r="I153" s="22">
        <f t="shared" si="20"/>
        <v>3.7499999999999999E-3</v>
      </c>
      <c r="J153">
        <v>0</v>
      </c>
      <c r="K153">
        <f t="shared" si="17"/>
        <v>3.7499999999999999E-2</v>
      </c>
      <c r="L153">
        <v>0</v>
      </c>
      <c r="M153">
        <f t="shared" si="18"/>
        <v>1.2375000000000001E-2</v>
      </c>
      <c r="N153">
        <f t="shared" si="19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470</v>
      </c>
      <c r="E154">
        <v>54</v>
      </c>
      <c r="F154">
        <v>380</v>
      </c>
      <c r="G154" s="7">
        <v>30</v>
      </c>
      <c r="I154" s="22">
        <f t="shared" si="20"/>
        <v>2.7000000000000001E-3</v>
      </c>
      <c r="J154">
        <v>0</v>
      </c>
      <c r="K154">
        <f t="shared" si="17"/>
        <v>2.7E-2</v>
      </c>
      <c r="L154">
        <v>0</v>
      </c>
      <c r="M154">
        <f t="shared" si="18"/>
        <v>8.9099999999999995E-3</v>
      </c>
      <c r="N154">
        <f t="shared" si="19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471</v>
      </c>
      <c r="E155">
        <v>65</v>
      </c>
      <c r="F155" s="13">
        <v>220</v>
      </c>
      <c r="G155" s="7">
        <v>9</v>
      </c>
      <c r="I155" s="22">
        <f t="shared" si="20"/>
        <v>3.2500000000000003E-3</v>
      </c>
      <c r="J155">
        <v>0</v>
      </c>
      <c r="K155">
        <f t="shared" si="17"/>
        <v>3.2500000000000001E-2</v>
      </c>
      <c r="L155">
        <v>0</v>
      </c>
      <c r="M155">
        <f t="shared" si="18"/>
        <v>1.0725E-2</v>
      </c>
      <c r="N155">
        <f t="shared" si="19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472</v>
      </c>
      <c r="E156">
        <v>62</v>
      </c>
      <c r="F156">
        <v>380</v>
      </c>
      <c r="G156" s="7">
        <v>50</v>
      </c>
      <c r="I156" s="22">
        <f t="shared" si="20"/>
        <v>3.1000000000000003E-3</v>
      </c>
      <c r="J156">
        <v>0</v>
      </c>
      <c r="K156">
        <f t="shared" si="17"/>
        <v>3.1E-2</v>
      </c>
      <c r="L156">
        <v>0</v>
      </c>
      <c r="M156">
        <f t="shared" si="18"/>
        <v>1.0230000000000001E-2</v>
      </c>
      <c r="N156">
        <f t="shared" si="19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473</v>
      </c>
      <c r="E157">
        <v>94</v>
      </c>
      <c r="F157">
        <v>380</v>
      </c>
      <c r="G157" s="7">
        <v>27</v>
      </c>
      <c r="I157" s="22">
        <f t="shared" si="20"/>
        <v>4.7000000000000002E-3</v>
      </c>
      <c r="J157">
        <v>0</v>
      </c>
      <c r="K157">
        <f t="shared" si="17"/>
        <v>4.7E-2</v>
      </c>
      <c r="L157">
        <v>0</v>
      </c>
      <c r="M157">
        <f t="shared" si="18"/>
        <v>1.5510000000000001E-2</v>
      </c>
      <c r="N157">
        <f t="shared" si="19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474</v>
      </c>
      <c r="E158">
        <v>96</v>
      </c>
      <c r="F158">
        <v>380</v>
      </c>
      <c r="G158" s="7">
        <v>20</v>
      </c>
      <c r="I158" s="22">
        <f t="shared" si="20"/>
        <v>4.8000000000000004E-3</v>
      </c>
      <c r="J158">
        <v>0</v>
      </c>
      <c r="K158">
        <f t="shared" si="17"/>
        <v>4.8000000000000001E-2</v>
      </c>
      <c r="L158">
        <v>0</v>
      </c>
      <c r="M158">
        <f t="shared" si="18"/>
        <v>1.584E-2</v>
      </c>
      <c r="N158">
        <f t="shared" si="19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475</v>
      </c>
      <c r="E159">
        <v>86</v>
      </c>
      <c r="F159">
        <v>380</v>
      </c>
      <c r="G159" s="7">
        <v>27</v>
      </c>
      <c r="I159" s="22">
        <f t="shared" si="20"/>
        <v>4.3E-3</v>
      </c>
      <c r="J159">
        <v>0</v>
      </c>
      <c r="K159">
        <f t="shared" si="17"/>
        <v>4.2999999999999997E-2</v>
      </c>
      <c r="L159">
        <v>0</v>
      </c>
      <c r="M159">
        <f t="shared" si="18"/>
        <v>1.4190000000000001E-2</v>
      </c>
      <c r="N159">
        <f t="shared" si="19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428</v>
      </c>
      <c r="E160">
        <v>132</v>
      </c>
      <c r="F160">
        <v>380</v>
      </c>
      <c r="G160" s="7">
        <v>47</v>
      </c>
      <c r="I160" s="22">
        <f t="shared" si="20"/>
        <v>6.6000000000000008E-3</v>
      </c>
      <c r="J160">
        <v>0</v>
      </c>
      <c r="K160">
        <f t="shared" si="17"/>
        <v>6.6000000000000003E-2</v>
      </c>
      <c r="L160">
        <v>0</v>
      </c>
      <c r="M160">
        <f t="shared" si="18"/>
        <v>2.1780000000000001E-2</v>
      </c>
      <c r="N160">
        <f t="shared" si="19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476</v>
      </c>
      <c r="E161">
        <v>65</v>
      </c>
      <c r="F161">
        <v>380</v>
      </c>
      <c r="G161" s="7">
        <v>48</v>
      </c>
      <c r="I161" s="22">
        <f t="shared" si="20"/>
        <v>3.2500000000000003E-3</v>
      </c>
      <c r="J161">
        <v>0</v>
      </c>
      <c r="K161">
        <f t="shared" si="17"/>
        <v>3.2500000000000001E-2</v>
      </c>
      <c r="L161">
        <v>0</v>
      </c>
      <c r="M161">
        <f t="shared" si="18"/>
        <v>1.0725E-2</v>
      </c>
      <c r="N161">
        <f t="shared" si="19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477</v>
      </c>
      <c r="E162">
        <v>116</v>
      </c>
      <c r="F162">
        <v>380</v>
      </c>
      <c r="G162" s="7">
        <v>27</v>
      </c>
      <c r="I162" s="22">
        <f t="shared" si="20"/>
        <v>5.8000000000000005E-3</v>
      </c>
      <c r="J162">
        <v>0</v>
      </c>
      <c r="K162">
        <f t="shared" si="17"/>
        <v>5.8000000000000003E-2</v>
      </c>
      <c r="L162">
        <v>0</v>
      </c>
      <c r="M162">
        <f t="shared" si="18"/>
        <v>1.9140000000000001E-2</v>
      </c>
      <c r="N162">
        <f t="shared" si="19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478</v>
      </c>
      <c r="E163">
        <v>63</v>
      </c>
      <c r="F163" s="13">
        <v>220</v>
      </c>
      <c r="G163" s="7">
        <v>9</v>
      </c>
      <c r="I163" s="22">
        <f t="shared" si="20"/>
        <v>3.15E-3</v>
      </c>
      <c r="J163">
        <v>0</v>
      </c>
      <c r="K163">
        <f t="shared" si="17"/>
        <v>3.15E-2</v>
      </c>
      <c r="L163">
        <v>0</v>
      </c>
      <c r="M163">
        <f t="shared" si="18"/>
        <v>1.0395000000000001E-2</v>
      </c>
      <c r="N163">
        <f t="shared" si="19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479</v>
      </c>
      <c r="E164">
        <v>58</v>
      </c>
      <c r="F164">
        <v>380</v>
      </c>
      <c r="G164" s="7">
        <v>48</v>
      </c>
      <c r="I164" s="22">
        <f t="shared" si="20"/>
        <v>2.9000000000000002E-3</v>
      </c>
      <c r="J164">
        <v>0</v>
      </c>
      <c r="K164">
        <f t="shared" si="17"/>
        <v>2.9000000000000001E-2</v>
      </c>
      <c r="L164">
        <v>0</v>
      </c>
      <c r="M164">
        <f t="shared" si="18"/>
        <v>9.5700000000000004E-3</v>
      </c>
      <c r="N164">
        <f t="shared" si="19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480</v>
      </c>
      <c r="E165">
        <v>115</v>
      </c>
      <c r="F165">
        <v>380</v>
      </c>
      <c r="G165" s="7">
        <v>20</v>
      </c>
      <c r="I165" s="22">
        <f t="shared" si="20"/>
        <v>5.7500000000000008E-3</v>
      </c>
      <c r="J165">
        <v>0</v>
      </c>
      <c r="K165">
        <f t="shared" si="17"/>
        <v>5.7500000000000002E-2</v>
      </c>
      <c r="L165">
        <v>0</v>
      </c>
      <c r="M165">
        <f t="shared" si="18"/>
        <v>1.8975000000000002E-2</v>
      </c>
      <c r="N165">
        <f t="shared" si="19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481</v>
      </c>
      <c r="E166">
        <v>108</v>
      </c>
      <c r="F166" s="13">
        <v>220</v>
      </c>
      <c r="G166" s="7">
        <v>5</v>
      </c>
      <c r="I166" s="22">
        <f t="shared" si="20"/>
        <v>5.4000000000000003E-3</v>
      </c>
      <c r="J166">
        <v>0</v>
      </c>
      <c r="K166">
        <f t="shared" si="17"/>
        <v>5.3999999999999999E-2</v>
      </c>
      <c r="L166">
        <v>0</v>
      </c>
      <c r="M166">
        <f t="shared" si="18"/>
        <v>1.7819999999999999E-2</v>
      </c>
      <c r="N166">
        <f t="shared" si="19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482</v>
      </c>
      <c r="E167">
        <v>53</v>
      </c>
      <c r="F167" s="13">
        <v>220</v>
      </c>
      <c r="G167" s="7">
        <v>3</v>
      </c>
      <c r="I167" s="22">
        <f t="shared" si="20"/>
        <v>2.65E-3</v>
      </c>
      <c r="J167">
        <v>0</v>
      </c>
      <c r="K167">
        <f t="shared" si="17"/>
        <v>2.6499999999999999E-2</v>
      </c>
      <c r="L167">
        <v>0</v>
      </c>
      <c r="M167">
        <f t="shared" si="18"/>
        <v>8.745000000000001E-3</v>
      </c>
      <c r="N167">
        <f t="shared" si="19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483</v>
      </c>
      <c r="E168">
        <v>58</v>
      </c>
      <c r="F168">
        <v>380</v>
      </c>
      <c r="G168" s="7">
        <v>19</v>
      </c>
      <c r="I168" s="22">
        <f t="shared" si="20"/>
        <v>2.9000000000000002E-3</v>
      </c>
      <c r="J168">
        <v>0</v>
      </c>
      <c r="K168">
        <f t="shared" si="17"/>
        <v>2.9000000000000001E-2</v>
      </c>
      <c r="L168">
        <v>0</v>
      </c>
      <c r="M168">
        <f t="shared" si="18"/>
        <v>9.5700000000000004E-3</v>
      </c>
      <c r="N168">
        <f t="shared" si="19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484</v>
      </c>
      <c r="E169">
        <v>62</v>
      </c>
      <c r="F169">
        <v>380</v>
      </c>
      <c r="G169" s="7">
        <v>31</v>
      </c>
      <c r="I169" s="22">
        <f t="shared" si="20"/>
        <v>3.1000000000000003E-3</v>
      </c>
      <c r="J169">
        <v>0</v>
      </c>
      <c r="K169">
        <f t="shared" si="17"/>
        <v>3.1E-2</v>
      </c>
      <c r="L169">
        <v>0</v>
      </c>
      <c r="M169">
        <f t="shared" si="18"/>
        <v>1.0230000000000001E-2</v>
      </c>
      <c r="N169">
        <f t="shared" si="19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485</v>
      </c>
      <c r="E170">
        <v>136</v>
      </c>
      <c r="F170">
        <v>380</v>
      </c>
      <c r="G170" s="7">
        <v>31</v>
      </c>
      <c r="I170" s="22">
        <f t="shared" si="20"/>
        <v>6.8000000000000005E-3</v>
      </c>
      <c r="J170">
        <v>0</v>
      </c>
      <c r="K170">
        <f t="shared" si="17"/>
        <v>6.8000000000000005E-2</v>
      </c>
      <c r="L170">
        <v>0</v>
      </c>
      <c r="M170">
        <f t="shared" si="18"/>
        <v>2.2440000000000002E-2</v>
      </c>
      <c r="N170">
        <f t="shared" si="19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486</v>
      </c>
      <c r="E171" s="10">
        <v>59</v>
      </c>
      <c r="F171" s="13">
        <v>220</v>
      </c>
      <c r="G171" s="7">
        <v>8</v>
      </c>
      <c r="H171" s="10"/>
      <c r="I171" s="22">
        <f t="shared" si="20"/>
        <v>2.9499999999999999E-3</v>
      </c>
      <c r="J171" s="10">
        <v>0</v>
      </c>
      <c r="K171">
        <f t="shared" si="17"/>
        <v>2.9499999999999998E-2</v>
      </c>
      <c r="L171" s="10">
        <v>0</v>
      </c>
      <c r="M171">
        <f t="shared" si="18"/>
        <v>9.7350000000000006E-3</v>
      </c>
      <c r="N171">
        <f t="shared" si="19"/>
        <v>-9.7350000000000006E-3</v>
      </c>
      <c r="O171" s="5">
        <v>0.57894736842105265</v>
      </c>
      <c r="P171" s="5">
        <v>0.81052631578947365</v>
      </c>
      <c r="Q171" s="5">
        <v>0.3473684210526316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tabSelected="1" workbookViewId="0">
      <pane ySplit="1" topLeftCell="A2" activePane="bottomLeft" state="frozen"/>
      <selection pane="bottomLeft" activeCell="I2" sqref="I2"/>
    </sheetView>
  </sheetViews>
  <sheetFormatPr defaultColWidth="8.85546875" defaultRowHeight="15" x14ac:dyDescent="0.25"/>
  <cols>
    <col min="4" max="4" width="34.28515625" bestFit="1" customWidth="1"/>
  </cols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262</v>
      </c>
      <c r="E2">
        <v>1972</v>
      </c>
      <c r="F2">
        <v>380</v>
      </c>
      <c r="G2">
        <v>40</v>
      </c>
      <c r="I2" s="23">
        <v>0.05</v>
      </c>
      <c r="J2">
        <v>0</v>
      </c>
      <c r="K2">
        <f>1.972/2</f>
        <v>0.98599999999999999</v>
      </c>
      <c r="L2">
        <f>-K2</f>
        <v>-0.98599999999999999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87" workbookViewId="0">
      <pane ySplit="1" topLeftCell="A106" activePane="bottomLeft" state="frozen"/>
      <selection pane="bottomLeft" activeCell="B43" sqref="B43:U44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178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179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180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181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182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183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184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185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186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187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188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189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190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191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192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101</v>
      </c>
      <c r="C17">
        <v>1</v>
      </c>
      <c r="D17" t="s">
        <v>193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102</v>
      </c>
      <c r="C18">
        <v>1</v>
      </c>
      <c r="D18" t="s">
        <v>194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103</v>
      </c>
      <c r="C19">
        <v>1</v>
      </c>
      <c r="D19" t="s">
        <v>195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104</v>
      </c>
      <c r="C20">
        <v>1</v>
      </c>
      <c r="D20" t="s">
        <v>196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105</v>
      </c>
      <c r="C21">
        <v>1</v>
      </c>
      <c r="D21" t="s">
        <v>197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106</v>
      </c>
      <c r="C22">
        <v>1</v>
      </c>
      <c r="D22" t="s">
        <v>198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107</v>
      </c>
      <c r="C23">
        <v>1</v>
      </c>
      <c r="D23" t="s">
        <v>199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108</v>
      </c>
      <c r="C24">
        <v>1</v>
      </c>
      <c r="D24" t="s">
        <v>200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109</v>
      </c>
      <c r="C25">
        <v>1</v>
      </c>
      <c r="D25" t="s">
        <v>201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110</v>
      </c>
      <c r="C26">
        <v>1</v>
      </c>
      <c r="D26" t="s">
        <v>202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111</v>
      </c>
      <c r="C27">
        <v>1</v>
      </c>
      <c r="D27" t="s">
        <v>203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112</v>
      </c>
      <c r="C28">
        <v>1</v>
      </c>
      <c r="D28" t="s">
        <v>204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113</v>
      </c>
      <c r="C29">
        <v>1</v>
      </c>
      <c r="D29" t="s">
        <v>205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114</v>
      </c>
      <c r="C30">
        <v>1</v>
      </c>
      <c r="D30" t="s">
        <v>206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115</v>
      </c>
      <c r="C31">
        <v>1</v>
      </c>
      <c r="D31" t="s">
        <v>207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116</v>
      </c>
      <c r="C32">
        <v>1</v>
      </c>
      <c r="D32" t="s">
        <v>208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117</v>
      </c>
      <c r="C33">
        <v>1</v>
      </c>
      <c r="D33" t="s">
        <v>209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118</v>
      </c>
      <c r="C34">
        <v>1</v>
      </c>
      <c r="D34" t="s">
        <v>210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25" t="s">
        <v>119</v>
      </c>
      <c r="C35" s="25">
        <v>1</v>
      </c>
      <c r="D35" s="25" t="s">
        <v>211</v>
      </c>
      <c r="E35" s="25">
        <v>17</v>
      </c>
      <c r="F35" s="25">
        <v>40</v>
      </c>
      <c r="G35" s="25">
        <v>1000</v>
      </c>
      <c r="H35" s="25">
        <v>50</v>
      </c>
      <c r="I35" s="25">
        <v>380</v>
      </c>
      <c r="J35" s="25">
        <v>380</v>
      </c>
      <c r="K35" s="25">
        <f>L35*0.03</f>
        <v>8.9999999999999998E-4</v>
      </c>
      <c r="L35" s="25">
        <v>0.03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1</v>
      </c>
      <c r="U35" s="25">
        <v>0</v>
      </c>
    </row>
    <row r="36" spans="1:21" x14ac:dyDescent="0.25">
      <c r="A36" s="1">
        <v>34</v>
      </c>
      <c r="B36" s="25" t="s">
        <v>120</v>
      </c>
      <c r="C36" s="25">
        <v>1</v>
      </c>
      <c r="D36" s="25" t="s">
        <v>212</v>
      </c>
      <c r="E36" s="25">
        <v>17</v>
      </c>
      <c r="F36" s="25">
        <v>40</v>
      </c>
      <c r="G36" s="25">
        <v>1000</v>
      </c>
      <c r="H36" s="25">
        <v>50</v>
      </c>
      <c r="I36" s="25">
        <v>380</v>
      </c>
      <c r="J36" s="25">
        <v>380</v>
      </c>
      <c r="K36" s="25">
        <f>L36*0.03</f>
        <v>8.9999999999999998E-4</v>
      </c>
      <c r="L36" s="25">
        <v>0.03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1</v>
      </c>
      <c r="U36" s="25">
        <v>0</v>
      </c>
    </row>
    <row r="37" spans="1:21" x14ac:dyDescent="0.25">
      <c r="A37" s="1">
        <v>35</v>
      </c>
      <c r="B37" t="s">
        <v>121</v>
      </c>
      <c r="C37">
        <v>1</v>
      </c>
      <c r="D37" t="s">
        <v>213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122</v>
      </c>
      <c r="C38">
        <v>1</v>
      </c>
      <c r="D38" t="s">
        <v>214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123</v>
      </c>
      <c r="C39">
        <v>1</v>
      </c>
      <c r="D39" t="s">
        <v>215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124</v>
      </c>
      <c r="C40">
        <v>1</v>
      </c>
      <c r="D40" t="s">
        <v>216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125</v>
      </c>
      <c r="C41">
        <v>1</v>
      </c>
      <c r="D41" t="s">
        <v>217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126</v>
      </c>
      <c r="C42">
        <v>1</v>
      </c>
      <c r="D42" t="s">
        <v>218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25" t="s">
        <v>127</v>
      </c>
      <c r="C43" s="25">
        <v>1</v>
      </c>
      <c r="D43" s="25" t="s">
        <v>219</v>
      </c>
      <c r="E43" s="25">
        <v>39</v>
      </c>
      <c r="F43" s="25">
        <v>23</v>
      </c>
      <c r="G43" s="25">
        <v>1000</v>
      </c>
      <c r="H43" s="25">
        <v>50</v>
      </c>
      <c r="I43" s="25">
        <v>380</v>
      </c>
      <c r="J43" s="25">
        <v>380</v>
      </c>
      <c r="K43" s="25">
        <f>L43*0.03</f>
        <v>8.9999999999999998E-4</v>
      </c>
      <c r="L43" s="25">
        <v>0.03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1</v>
      </c>
      <c r="U43" s="25">
        <v>0</v>
      </c>
    </row>
    <row r="44" spans="1:21" x14ac:dyDescent="0.25">
      <c r="A44" s="1">
        <v>42</v>
      </c>
      <c r="B44" s="25" t="s">
        <v>128</v>
      </c>
      <c r="C44" s="25">
        <v>1</v>
      </c>
      <c r="D44" s="25" t="s">
        <v>220</v>
      </c>
      <c r="E44" s="25">
        <v>39</v>
      </c>
      <c r="F44" s="25">
        <v>23</v>
      </c>
      <c r="G44" s="25">
        <v>1000</v>
      </c>
      <c r="H44" s="25">
        <v>50</v>
      </c>
      <c r="I44" s="25">
        <v>380</v>
      </c>
      <c r="J44" s="25">
        <v>380</v>
      </c>
      <c r="K44" s="25">
        <f>L44*0.03</f>
        <v>8.9999999999999998E-4</v>
      </c>
      <c r="L44" s="25">
        <v>0.03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1</v>
      </c>
      <c r="U44" s="25">
        <v>0</v>
      </c>
    </row>
    <row r="45" spans="1:21" x14ac:dyDescent="0.25">
      <c r="A45" s="1">
        <v>43</v>
      </c>
      <c r="B45" t="s">
        <v>129</v>
      </c>
      <c r="C45">
        <v>1</v>
      </c>
      <c r="D45" t="s">
        <v>221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130</v>
      </c>
      <c r="C46">
        <v>1</v>
      </c>
      <c r="D46" t="s">
        <v>222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131</v>
      </c>
      <c r="C47">
        <v>1</v>
      </c>
      <c r="D47" t="s">
        <v>223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132</v>
      </c>
      <c r="C48">
        <v>1</v>
      </c>
      <c r="D48" t="s">
        <v>224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133</v>
      </c>
      <c r="C49">
        <v>1</v>
      </c>
      <c r="D49" t="s">
        <v>225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134</v>
      </c>
      <c r="C50">
        <v>1</v>
      </c>
      <c r="D50" t="s">
        <v>226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135</v>
      </c>
      <c r="C51">
        <v>1</v>
      </c>
      <c r="D51" t="s">
        <v>227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136</v>
      </c>
      <c r="C52">
        <v>1</v>
      </c>
      <c r="D52" t="s">
        <v>228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137</v>
      </c>
      <c r="C53">
        <v>1</v>
      </c>
      <c r="D53" t="s">
        <v>229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25" t="s">
        <v>138</v>
      </c>
      <c r="C54" s="25">
        <v>1</v>
      </c>
      <c r="D54" s="25" t="s">
        <v>230</v>
      </c>
      <c r="E54" s="25">
        <v>26</v>
      </c>
      <c r="F54" s="25">
        <v>41</v>
      </c>
      <c r="G54" s="25">
        <v>1000</v>
      </c>
      <c r="H54" s="25">
        <v>50</v>
      </c>
      <c r="I54" s="25">
        <v>380</v>
      </c>
      <c r="J54" s="25">
        <v>380</v>
      </c>
      <c r="K54" s="25">
        <f>L54*0.03</f>
        <v>8.9999999999999998E-4</v>
      </c>
      <c r="L54" s="25">
        <v>0.03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1</v>
      </c>
      <c r="U54" s="25">
        <v>0</v>
      </c>
    </row>
    <row r="55" spans="1:21" x14ac:dyDescent="0.25">
      <c r="A55" s="1">
        <v>53</v>
      </c>
      <c r="B55" s="25" t="s">
        <v>139</v>
      </c>
      <c r="C55" s="25">
        <v>1</v>
      </c>
      <c r="D55" s="25" t="s">
        <v>231</v>
      </c>
      <c r="E55" s="25">
        <v>26</v>
      </c>
      <c r="F55" s="25">
        <v>42</v>
      </c>
      <c r="G55" s="25">
        <v>1000</v>
      </c>
      <c r="H55" s="25">
        <v>50</v>
      </c>
      <c r="I55" s="25">
        <v>380</v>
      </c>
      <c r="J55" s="25">
        <v>380</v>
      </c>
      <c r="K55" s="25">
        <f>L55*0.03</f>
        <v>8.9999999999999998E-4</v>
      </c>
      <c r="L55" s="25">
        <v>0.03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1</v>
      </c>
      <c r="U55" s="25">
        <v>0</v>
      </c>
    </row>
    <row r="56" spans="1:21" x14ac:dyDescent="0.25">
      <c r="A56" s="1">
        <v>54</v>
      </c>
      <c r="B56" s="25" t="s">
        <v>140</v>
      </c>
      <c r="C56" s="25">
        <v>1</v>
      </c>
      <c r="D56" s="25" t="s">
        <v>232</v>
      </c>
      <c r="E56" s="25">
        <v>27</v>
      </c>
      <c r="F56" s="25">
        <v>38</v>
      </c>
      <c r="G56" s="25">
        <v>1000</v>
      </c>
      <c r="H56" s="25">
        <v>50</v>
      </c>
      <c r="I56" s="25">
        <v>380</v>
      </c>
      <c r="J56" s="25">
        <v>380</v>
      </c>
      <c r="K56" s="25">
        <f>L56*0.03</f>
        <v>8.9999999999999998E-4</v>
      </c>
      <c r="L56" s="25">
        <v>0.03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1</v>
      </c>
      <c r="U56" s="25">
        <v>0</v>
      </c>
    </row>
    <row r="57" spans="1:21" x14ac:dyDescent="0.25">
      <c r="A57" s="1">
        <v>55</v>
      </c>
      <c r="B57" s="25" t="s">
        <v>141</v>
      </c>
      <c r="C57" s="25">
        <v>1</v>
      </c>
      <c r="D57" s="25" t="s">
        <v>233</v>
      </c>
      <c r="E57" s="25">
        <v>27</v>
      </c>
      <c r="F57" s="25">
        <v>38</v>
      </c>
      <c r="G57" s="25">
        <v>1000</v>
      </c>
      <c r="H57" s="25">
        <v>50</v>
      </c>
      <c r="I57" s="25">
        <v>380</v>
      </c>
      <c r="J57" s="25">
        <v>380</v>
      </c>
      <c r="K57" s="25">
        <f>L57*0.03</f>
        <v>8.9999999999999998E-4</v>
      </c>
      <c r="L57" s="25">
        <v>0.03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1</v>
      </c>
      <c r="U57" s="25">
        <v>0</v>
      </c>
    </row>
    <row r="58" spans="1:21" x14ac:dyDescent="0.25">
      <c r="A58" s="1">
        <v>56</v>
      </c>
      <c r="B58" t="s">
        <v>142</v>
      </c>
      <c r="C58">
        <v>1</v>
      </c>
      <c r="D58" t="s">
        <v>234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143</v>
      </c>
      <c r="C59">
        <v>1</v>
      </c>
      <c r="D59" t="s">
        <v>235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144</v>
      </c>
      <c r="C60">
        <v>1</v>
      </c>
      <c r="D60" t="s">
        <v>236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25" t="s">
        <v>145</v>
      </c>
      <c r="C61" s="25">
        <v>1</v>
      </c>
      <c r="D61" s="25" t="s">
        <v>237</v>
      </c>
      <c r="E61" s="25">
        <v>30</v>
      </c>
      <c r="F61" s="25">
        <v>44</v>
      </c>
      <c r="G61" s="25">
        <v>1000</v>
      </c>
      <c r="H61" s="25">
        <v>50</v>
      </c>
      <c r="I61" s="25">
        <v>380</v>
      </c>
      <c r="J61" s="25">
        <v>380</v>
      </c>
      <c r="K61" s="25">
        <f>L61*0.03</f>
        <v>8.9999999999999998E-4</v>
      </c>
      <c r="L61" s="25">
        <v>0.03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1</v>
      </c>
      <c r="U61" s="25">
        <v>0</v>
      </c>
    </row>
    <row r="62" spans="1:21" x14ac:dyDescent="0.25">
      <c r="A62" s="1">
        <v>60</v>
      </c>
      <c r="B62" s="25" t="s">
        <v>146</v>
      </c>
      <c r="C62" s="25">
        <v>1</v>
      </c>
      <c r="D62" s="25" t="s">
        <v>238</v>
      </c>
      <c r="E62" s="25">
        <v>30</v>
      </c>
      <c r="F62" s="25">
        <v>44</v>
      </c>
      <c r="G62" s="25">
        <v>1000</v>
      </c>
      <c r="H62" s="25">
        <v>50</v>
      </c>
      <c r="I62" s="25">
        <v>380</v>
      </c>
      <c r="J62" s="25">
        <v>380</v>
      </c>
      <c r="K62" s="25">
        <f>L62*0.03</f>
        <v>8.9999999999999998E-4</v>
      </c>
      <c r="L62" s="25">
        <v>0.03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1</v>
      </c>
      <c r="U62" s="25">
        <v>0</v>
      </c>
    </row>
    <row r="63" spans="1:21" x14ac:dyDescent="0.25">
      <c r="A63" s="1">
        <v>61</v>
      </c>
      <c r="B63" s="25" t="s">
        <v>147</v>
      </c>
      <c r="C63" s="25">
        <v>1</v>
      </c>
      <c r="D63" s="25" t="s">
        <v>239</v>
      </c>
      <c r="E63" s="25">
        <v>43</v>
      </c>
      <c r="F63" s="25">
        <v>26</v>
      </c>
      <c r="G63" s="25">
        <v>1000</v>
      </c>
      <c r="H63" s="25">
        <v>50</v>
      </c>
      <c r="I63" s="25">
        <v>380</v>
      </c>
      <c r="J63" s="25">
        <v>380</v>
      </c>
      <c r="K63" s="25">
        <f>L63*0.03</f>
        <v>8.9999999999999998E-4</v>
      </c>
      <c r="L63" s="25">
        <v>0.03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1</v>
      </c>
      <c r="U63" s="25">
        <v>0</v>
      </c>
    </row>
    <row r="64" spans="1:21" x14ac:dyDescent="0.25">
      <c r="A64" s="1">
        <v>62</v>
      </c>
      <c r="B64" s="25" t="s">
        <v>148</v>
      </c>
      <c r="C64" s="25">
        <v>1</v>
      </c>
      <c r="D64" s="25" t="s">
        <v>240</v>
      </c>
      <c r="E64" s="25">
        <v>43</v>
      </c>
      <c r="F64" s="25">
        <v>26</v>
      </c>
      <c r="G64" s="25">
        <v>1000</v>
      </c>
      <c r="H64" s="25">
        <v>50</v>
      </c>
      <c r="I64" s="25">
        <v>380</v>
      </c>
      <c r="J64" s="25">
        <v>380</v>
      </c>
      <c r="K64" s="25">
        <f>L64*0.03</f>
        <v>8.9999999999999998E-4</v>
      </c>
      <c r="L64" s="25">
        <v>0.03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1</v>
      </c>
      <c r="U64" s="25">
        <v>0</v>
      </c>
    </row>
    <row r="65" spans="1:21" x14ac:dyDescent="0.25">
      <c r="A65" s="1">
        <v>63</v>
      </c>
      <c r="B65" t="s">
        <v>149</v>
      </c>
      <c r="C65">
        <v>1</v>
      </c>
      <c r="D65" t="s">
        <v>241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150</v>
      </c>
      <c r="C66">
        <v>1</v>
      </c>
      <c r="D66" t="s">
        <v>242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151</v>
      </c>
      <c r="C67">
        <v>1</v>
      </c>
      <c r="D67" t="s">
        <v>243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152</v>
      </c>
      <c r="C68">
        <v>1</v>
      </c>
      <c r="D68" t="s">
        <v>244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153</v>
      </c>
      <c r="C69">
        <v>1</v>
      </c>
      <c r="D69" t="s">
        <v>245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154</v>
      </c>
      <c r="C70">
        <v>1</v>
      </c>
      <c r="D70" t="s">
        <v>246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25" t="s">
        <v>155</v>
      </c>
      <c r="C71" s="25">
        <v>1</v>
      </c>
      <c r="D71" s="25" t="s">
        <v>247</v>
      </c>
      <c r="E71" s="25">
        <v>36</v>
      </c>
      <c r="F71" s="25">
        <v>21</v>
      </c>
      <c r="G71" s="25">
        <v>1000</v>
      </c>
      <c r="H71" s="25">
        <v>50</v>
      </c>
      <c r="I71" s="25">
        <v>380</v>
      </c>
      <c r="J71" s="25">
        <v>380</v>
      </c>
      <c r="K71" s="25">
        <f t="shared" ref="K71:K76" si="0">L71*0.03</f>
        <v>8.9999999999999998E-4</v>
      </c>
      <c r="L71" s="25">
        <v>0.03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1</v>
      </c>
      <c r="U71" s="25">
        <v>0</v>
      </c>
    </row>
    <row r="72" spans="1:21" x14ac:dyDescent="0.25">
      <c r="A72" s="1">
        <v>70</v>
      </c>
      <c r="B72" s="25" t="s">
        <v>156</v>
      </c>
      <c r="C72" s="25">
        <v>1</v>
      </c>
      <c r="D72" s="25" t="s">
        <v>248</v>
      </c>
      <c r="E72" s="25">
        <v>36</v>
      </c>
      <c r="F72" s="25">
        <v>21</v>
      </c>
      <c r="G72" s="25">
        <v>1000</v>
      </c>
      <c r="H72" s="25">
        <v>50</v>
      </c>
      <c r="I72" s="25">
        <v>380</v>
      </c>
      <c r="J72" s="25">
        <v>380</v>
      </c>
      <c r="K72" s="25">
        <f t="shared" si="0"/>
        <v>8.9999999999999998E-4</v>
      </c>
      <c r="L72" s="25">
        <v>0.03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1</v>
      </c>
      <c r="U72" s="25">
        <v>0</v>
      </c>
    </row>
    <row r="73" spans="1:21" x14ac:dyDescent="0.25">
      <c r="A73" s="1">
        <v>71</v>
      </c>
      <c r="B73" s="25" t="s">
        <v>157</v>
      </c>
      <c r="C73" s="25">
        <v>1</v>
      </c>
      <c r="D73" s="25" t="s">
        <v>249</v>
      </c>
      <c r="E73" s="25">
        <v>37</v>
      </c>
      <c r="F73" s="25">
        <v>18</v>
      </c>
      <c r="G73" s="25">
        <v>1000</v>
      </c>
      <c r="H73" s="25">
        <v>50</v>
      </c>
      <c r="I73" s="25">
        <v>380</v>
      </c>
      <c r="J73" s="25">
        <v>380</v>
      </c>
      <c r="K73" s="25">
        <f t="shared" si="0"/>
        <v>8.9999999999999998E-4</v>
      </c>
      <c r="L73" s="25">
        <v>0.03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1</v>
      </c>
      <c r="U73" s="25">
        <v>0</v>
      </c>
    </row>
    <row r="74" spans="1:21" x14ac:dyDescent="0.25">
      <c r="A74" s="1">
        <v>72</v>
      </c>
      <c r="B74" s="25" t="s">
        <v>158</v>
      </c>
      <c r="C74" s="25">
        <v>1</v>
      </c>
      <c r="D74" s="25" t="s">
        <v>250</v>
      </c>
      <c r="E74" s="25">
        <v>37</v>
      </c>
      <c r="F74" s="25">
        <v>18</v>
      </c>
      <c r="G74" s="25">
        <v>1000</v>
      </c>
      <c r="H74" s="25">
        <v>50</v>
      </c>
      <c r="I74" s="25">
        <v>380</v>
      </c>
      <c r="J74" s="25">
        <v>380</v>
      </c>
      <c r="K74" s="25">
        <f t="shared" si="0"/>
        <v>8.9999999999999998E-4</v>
      </c>
      <c r="L74" s="25">
        <v>0.03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1</v>
      </c>
      <c r="U74" s="25">
        <v>0</v>
      </c>
    </row>
    <row r="75" spans="1:21" x14ac:dyDescent="0.25">
      <c r="A75" s="1">
        <v>73</v>
      </c>
      <c r="B75" s="25" t="s">
        <v>159</v>
      </c>
      <c r="C75" s="25">
        <v>1</v>
      </c>
      <c r="D75" s="25" t="s">
        <v>251</v>
      </c>
      <c r="E75" s="25">
        <v>35</v>
      </c>
      <c r="F75" s="25">
        <v>28</v>
      </c>
      <c r="G75" s="25">
        <v>1000</v>
      </c>
      <c r="H75" s="25">
        <v>50</v>
      </c>
      <c r="I75" s="25">
        <v>380</v>
      </c>
      <c r="J75" s="25">
        <v>380</v>
      </c>
      <c r="K75" s="25">
        <f t="shared" si="0"/>
        <v>8.9999999999999998E-4</v>
      </c>
      <c r="L75" s="25">
        <v>0.03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1</v>
      </c>
      <c r="U75" s="25">
        <v>0</v>
      </c>
    </row>
    <row r="76" spans="1:21" x14ac:dyDescent="0.25">
      <c r="A76" s="1">
        <v>74</v>
      </c>
      <c r="B76" s="25" t="s">
        <v>160</v>
      </c>
      <c r="C76" s="25">
        <v>1</v>
      </c>
      <c r="D76" s="25" t="s">
        <v>252</v>
      </c>
      <c r="E76" s="25">
        <v>35</v>
      </c>
      <c r="F76" s="25">
        <v>28</v>
      </c>
      <c r="G76" s="25">
        <v>1000</v>
      </c>
      <c r="H76" s="25">
        <v>50</v>
      </c>
      <c r="I76" s="25">
        <v>380</v>
      </c>
      <c r="J76" s="25">
        <v>380</v>
      </c>
      <c r="K76" s="25">
        <f t="shared" si="0"/>
        <v>8.9999999999999998E-4</v>
      </c>
      <c r="L76" s="25">
        <v>0.03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1</v>
      </c>
      <c r="U76" s="25">
        <v>0</v>
      </c>
    </row>
    <row r="77" spans="1:21" x14ac:dyDescent="0.25">
      <c r="A77" s="11">
        <v>75</v>
      </c>
      <c r="B77" t="s">
        <v>161</v>
      </c>
      <c r="C77">
        <v>1</v>
      </c>
      <c r="D77" t="s">
        <v>277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162</v>
      </c>
      <c r="C78">
        <v>1</v>
      </c>
      <c r="D78" t="s">
        <v>278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163</v>
      </c>
      <c r="C79">
        <v>1</v>
      </c>
      <c r="D79" t="s">
        <v>279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164</v>
      </c>
      <c r="C80">
        <v>1</v>
      </c>
      <c r="D80" t="s">
        <v>280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165</v>
      </c>
      <c r="C81">
        <v>1</v>
      </c>
      <c r="D81" t="s">
        <v>281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166</v>
      </c>
      <c r="C82">
        <v>1</v>
      </c>
      <c r="D82" t="s">
        <v>282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167</v>
      </c>
      <c r="C83">
        <v>1</v>
      </c>
      <c r="D83" s="27" t="s">
        <v>490</v>
      </c>
      <c r="E83" s="27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168</v>
      </c>
      <c r="C84">
        <v>1</v>
      </c>
      <c r="D84" s="27" t="s">
        <v>491</v>
      </c>
      <c r="E84" s="27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169</v>
      </c>
      <c r="C85">
        <v>1</v>
      </c>
      <c r="D85" s="27" t="s">
        <v>492</v>
      </c>
      <c r="E85">
        <v>22</v>
      </c>
      <c r="F85" s="27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170</v>
      </c>
      <c r="C86">
        <v>1</v>
      </c>
      <c r="D86" s="27" t="s">
        <v>493</v>
      </c>
      <c r="E86">
        <v>22</v>
      </c>
      <c r="F86" s="27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171</v>
      </c>
      <c r="C87">
        <v>1</v>
      </c>
      <c r="D87" s="27" t="s">
        <v>283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172</v>
      </c>
      <c r="C88">
        <v>1</v>
      </c>
      <c r="D88" s="27" t="s">
        <v>284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173</v>
      </c>
      <c r="C89">
        <v>1</v>
      </c>
      <c r="D89" t="s">
        <v>285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174</v>
      </c>
      <c r="C90">
        <v>1</v>
      </c>
      <c r="D90" t="s">
        <v>286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175</v>
      </c>
      <c r="C91">
        <v>1</v>
      </c>
      <c r="D91" t="s">
        <v>287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176</v>
      </c>
      <c r="C92">
        <v>1</v>
      </c>
      <c r="D92" t="s">
        <v>288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177</v>
      </c>
      <c r="C93">
        <v>1</v>
      </c>
      <c r="D93" t="s">
        <v>289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266</v>
      </c>
      <c r="C94">
        <v>1</v>
      </c>
      <c r="D94" t="s">
        <v>290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267</v>
      </c>
      <c r="C95">
        <v>1</v>
      </c>
      <c r="D95" t="s">
        <v>291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268</v>
      </c>
      <c r="C96">
        <v>1</v>
      </c>
      <c r="D96" t="s">
        <v>292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319</v>
      </c>
      <c r="C97">
        <v>1</v>
      </c>
      <c r="D97" t="s">
        <v>293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320</v>
      </c>
      <c r="C98">
        <v>1</v>
      </c>
      <c r="D98" t="s">
        <v>294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321</v>
      </c>
      <c r="C99">
        <v>1</v>
      </c>
      <c r="D99" t="s">
        <v>295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322</v>
      </c>
      <c r="C100">
        <v>1</v>
      </c>
      <c r="D100" t="s">
        <v>296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323</v>
      </c>
      <c r="C101">
        <v>1</v>
      </c>
      <c r="D101" t="s">
        <v>297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324</v>
      </c>
      <c r="C102">
        <v>1</v>
      </c>
      <c r="D102" t="s">
        <v>298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325</v>
      </c>
      <c r="C103">
        <v>1</v>
      </c>
      <c r="D103" t="s">
        <v>299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326</v>
      </c>
      <c r="C104">
        <v>1</v>
      </c>
      <c r="D104" t="s">
        <v>300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327</v>
      </c>
      <c r="C105">
        <v>1</v>
      </c>
      <c r="D105" t="s">
        <v>301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328</v>
      </c>
      <c r="C106">
        <v>1</v>
      </c>
      <c r="D106" t="s">
        <v>302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329</v>
      </c>
      <c r="C107">
        <v>1</v>
      </c>
      <c r="D107" t="s">
        <v>303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330</v>
      </c>
      <c r="C108">
        <v>1</v>
      </c>
      <c r="D108" t="s">
        <v>304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331</v>
      </c>
      <c r="C109">
        <v>1</v>
      </c>
      <c r="D109" t="s">
        <v>305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332</v>
      </c>
      <c r="C110">
        <v>1</v>
      </c>
      <c r="D110" t="s">
        <v>306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333</v>
      </c>
      <c r="C111">
        <v>1</v>
      </c>
      <c r="D111" t="s">
        <v>307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334</v>
      </c>
      <c r="C112">
        <v>1</v>
      </c>
      <c r="D112" t="s">
        <v>308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335</v>
      </c>
      <c r="C113">
        <v>1</v>
      </c>
      <c r="D113" t="s">
        <v>309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336</v>
      </c>
      <c r="C114">
        <v>1</v>
      </c>
      <c r="D114" t="s">
        <v>310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337</v>
      </c>
      <c r="C115">
        <v>1</v>
      </c>
      <c r="D115" t="s">
        <v>311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338</v>
      </c>
      <c r="C116">
        <v>1</v>
      </c>
      <c r="D116" t="s">
        <v>312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339</v>
      </c>
      <c r="C117">
        <v>1</v>
      </c>
      <c r="D117" t="s">
        <v>313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340</v>
      </c>
      <c r="C118">
        <v>1</v>
      </c>
      <c r="D118" t="s">
        <v>314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341</v>
      </c>
      <c r="C119">
        <v>1</v>
      </c>
      <c r="D119" t="s">
        <v>315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342</v>
      </c>
      <c r="C120">
        <v>1</v>
      </c>
      <c r="D120" t="s">
        <v>316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343</v>
      </c>
      <c r="C121">
        <v>1</v>
      </c>
      <c r="D121" t="s">
        <v>317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344</v>
      </c>
      <c r="C122">
        <v>1</v>
      </c>
      <c r="D122" t="s">
        <v>318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345</v>
      </c>
      <c r="C123">
        <v>1</v>
      </c>
      <c r="D123" s="5" t="s">
        <v>263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346</v>
      </c>
      <c r="C124">
        <v>1</v>
      </c>
      <c r="D124" s="5" t="s">
        <v>264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347</v>
      </c>
      <c r="C125">
        <v>1</v>
      </c>
      <c r="D125" s="5" t="s">
        <v>265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348</v>
      </c>
      <c r="C126">
        <v>1</v>
      </c>
      <c r="D126" s="12" t="s">
        <v>349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Bus</vt:lpstr>
      <vt:lpstr>PQ</vt:lpstr>
      <vt:lpstr>PV</vt:lpstr>
      <vt:lpstr>Slack</vt:lpstr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2026-01-08T23:22:44Z</dcterms:modified>
</cp:coreProperties>
</file>