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MPC\"/>
    </mc:Choice>
  </mc:AlternateContent>
  <xr:revisionPtr revIDLastSave="0" documentId="13_ncr:1_{B513D565-655A-43E9-A52E-AB6500BDE5B7}" xr6:coauthVersionLast="47" xr6:coauthVersionMax="47" xr10:uidLastSave="{00000000-0000-0000-0000-000000000000}"/>
  <bookViews>
    <workbookView xWindow="5025" yWindow="3150" windowWidth="21600" windowHeight="11295" firstSheet="4" activeTab="10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_MPC_DIS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8" l="1"/>
  <c r="AJ4" i="18"/>
  <c r="AJ5" i="18"/>
  <c r="AJ6" i="18"/>
  <c r="AJ7" i="18"/>
  <c r="AJ8" i="18"/>
  <c r="AJ9" i="18"/>
  <c r="AJ2" i="18"/>
  <c r="I126" i="3" l="1"/>
  <c r="K126" i="3"/>
  <c r="K129" i="3"/>
  <c r="I129" i="3"/>
  <c r="Z3" i="18"/>
  <c r="Z2" i="18"/>
  <c r="I136" i="3"/>
  <c r="I137" i="3"/>
  <c r="I138" i="3"/>
  <c r="I139" i="3"/>
  <c r="I140" i="3"/>
  <c r="I135" i="3"/>
  <c r="I127" i="3"/>
  <c r="Z9" i="18" l="1"/>
  <c r="Z8" i="18"/>
  <c r="Z7" i="18"/>
  <c r="Z6" i="18"/>
  <c r="Z5" i="18"/>
  <c r="Z4" i="18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L2" i="4"/>
  <c r="K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I10" i="3"/>
  <c r="I8" i="3"/>
  <c r="I9" i="3"/>
  <c r="I3" i="3"/>
  <c r="I4" i="3"/>
  <c r="I5" i="3"/>
  <c r="I6" i="3"/>
  <c r="I7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7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<sst xmlns="http://schemas.openxmlformats.org/spreadsheetml/2006/main" count="1334" uniqueCount="1023">
  <si>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</si>
  <si>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</si>
  <si>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</si>
  <si>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</si>
  <si>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</si>
  <si>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</si>
  <si>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</si>
  <si>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</si>
  <si>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</si>
  <si>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</si>
  <si>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</si>
  <si>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</si>
  <si>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</si>
  <si>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</si>
  <si>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</si>
  <si>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</si>
  <si>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</si>
  <si>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</si>
  <si>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</si>
  <si>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</si>
  <si>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</si>
  <si>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</si>
  <si>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</si>
  <si>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</si>
  <si>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</si>
  <si>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</si>
  <si>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</si>
  <si>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</si>
  <si>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</si>
  <si>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</si>
  <si>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</si>
  <si>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</si>
  <si>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</si>
  <si>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</si>
  <si>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</si>
  <si>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</si>
  <si>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</si>
  <si>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</si>
  <si>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</si>
  <si>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</si>
  <si>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</si>
  <si>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</si>
  <si>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</si>
  <si>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</si>
  <si>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</si>
  <si>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</si>
  <si>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</si>
  <si>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</si>
  <si>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</si>
  <si>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</si>
  <si>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</si>
  <si>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</si>
  <si>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</si>
  <si>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</si>
  <si>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</si>
  <si>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</si>
  <si>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</si>
  <si>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</si>
  <si>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</si>
  <si>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</si>
  <si>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</si>
  <si>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</si>
  <si>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</si>
  <si>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</si>
  <si>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</si>
  <si>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</si>
  <si>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</si>
  <si>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</si>
  <si>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</si>
  <si>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</si>
  <si>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</si>
  <si>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</si>
  <si>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</si>
  <si>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</si>
  <si>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</si>
  <si>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</si>
  <si>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</si>
  <si>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</si>
  <si>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</si>
  <si>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</si>
  <si>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</si>
  <si>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</si>
  <si>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</si>
  <si>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</si>
  <si>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</si>
  <si>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</si>
  <si>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</si>
  <si>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</si>
  <si>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</si>
  <si>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</si>
  <si>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</si>
  <si>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</si>
  <si>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</si>
  <si>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</si>
  <si>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</si>
  <si>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</si>
  <si>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</si>
  <si>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</si>
  <si>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</si>
  <si>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</si>
  <si>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</si>
  <si>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</si>
  <si>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</si>
  <si>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</si>
  <si>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</si>
  <si>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</si>
  <si>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</si>
  <si>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</si>
  <si>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</si>
  <si>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</si>
  <si>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</si>
  <si>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</si>
  <si>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</si>
  <si>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</si>
  <si>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</si>
  <si>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</si>
  <si>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</si>
  <si>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</si>
  <si>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</si>
  <si>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</si>
  <si>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</si>
  <si>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</si>
  <si>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</si>
  <si>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</si>
  <si>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</si>
  <si>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</si>
  <si>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</si>
  <si>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</si>
  <si>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</si>
  <si>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</si>
  <si>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</si>
  <si>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</si>
  <si>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</si>
  <si>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</si>
  <si>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</si>
  <si>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</si>
  <si>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</si>
  <si>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</si>
  <si>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</si>
  <si>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</si>
  <si>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</si>
  <si>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</si>
  <si>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</si>
  <si>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</si>
  <si>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</si>
  <si>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</si>
  <si>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</si>
  <si>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</si>
  <si>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</si>
  <si>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</si>
  <si>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</si>
  <si>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</si>
  <si>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</si>
  <si>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</si>
  <si>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</si>
  <si>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</si>
  <si>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</si>
  <si>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</si>
  <si>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</si>
  <si>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</si>
  <si>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</si>
  <si>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</si>
  <si>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</si>
  <si>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</si>
  <si>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</si>
  <si>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</si>
  <si>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</si>
  <si>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</si>
  <si>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</si>
  <si>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</si>
  <si>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</si>
  <si>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</si>
  <si>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</si>
  <si>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</si>
  <si>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</si>
  <si>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</si>
  <si>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</si>
  <si>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</si>
  <si>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</si>
  <si>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</si>
  <si>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</si>
  <si>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</si>
  <si>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</si>
  <si>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</si>
  <si>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</si>
  <si>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</si>
  <si>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</si>
  <si>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</si>
  <si>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</si>
  <si>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</si>
  <si>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</si>
  <si>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</si>
  <si>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</si>
  <si>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</si>
  <si>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</si>
  <si>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</si>
  <si>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</si>
  <si>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</si>
  <si>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</si>
  <si>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</si>
  <si>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</si>
  <si>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</si>
  <si>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</si>
  <si>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</si>
  <si>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</si>
  <si>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</si>
  <si>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</si>
  <si>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</si>
  <si>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</si>
  <si>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</si>
  <si>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</si>
  <si>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</si>
  <si>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</si>
  <si>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</si>
  <si>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</si>
  <si>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</si>
  <si>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</si>
  <si>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</si>
  <si>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</si>
  <si>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</si>
  <si>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</si>
  <si>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</si>
  <si>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</si>
  <si>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</si>
  <si>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</si>
  <si>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</si>
  <si>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</si>
  <si>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</si>
  <si>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</si>
  <si>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</si>
  <si>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</si>
  <si>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</si>
  <si>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</si>
  <si>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</si>
  <si>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</si>
  <si>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</si>
  <si>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</si>
  <si>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</si>
  <si>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</si>
  <si>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</si>
  <si>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</si>
  <si>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</si>
  <si>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</si>
  <si>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</si>
  <si>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</si>
  <si>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</si>
  <si>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</si>
  <si>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</si>
  <si>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</si>
  <si>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</si>
  <si>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</si>
  <si>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</si>
  <si>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</si>
  <si>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</si>
  <si>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</si>
  <si>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</si>
  <si>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</si>
  <si>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</si>
  <si>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</si>
  <si>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</si>
  <si>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</si>
  <si>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</si>
  <si>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</si>
  <si>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</si>
  <si>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</si>
  <si>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</si>
  <si>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</si>
  <si>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</si>
  <si>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</si>
  <si>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</si>
  <si>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</si>
  <si>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</si>
  <si>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</si>
  <si>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</si>
  <si>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</si>
  <si>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</si>
  <si>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</si>
  <si>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</si>
  <si>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</si>
  <si>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</si>
  <si>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</si>
  <si>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</si>
  <si>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</si>
  <si>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</si>
  <si>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</si>
  <si>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</si>
  <si>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</si>
  <si>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</si>
  <si>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</si>
  <si>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</si>
  <si>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</si>
  <si>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</si>
  <si>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</si>
  <si>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</si>
  <si>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</si>
  <si>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</si>
  <si>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</si>
  <si>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</si>
  <si>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</si>
  <si>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</si>
  <si>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</si>
  <si>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</si>
  <si>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</si>
  <si>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</si>
  <si>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</si>
  <si>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</si>
  <si>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</si>
  <si>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</si>
  <si>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</si>
  <si>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</si>
  <si>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</si>
  <si>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</si>
  <si>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</si>
  <si>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</si>
  <si>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</si>
  <si>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</si>
  <si>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</si>
  <si>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</si>
  <si>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</si>
  <si>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</si>
  <si>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</si>
  <si>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</si>
  <si>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</si>
  <si>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</si>
  <si>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</si>
  <si>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</si>
  <si>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</si>
  <si>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</si>
  <si>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</si>
  <si>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</si>
  <si>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</si>
  <si>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</si>
  <si>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</si>
  <si>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</si>
  <si>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</si>
  <si>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</si>
  <si>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</si>
  <si>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</si>
  <si>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</si>
  <si>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</si>
  <si>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</si>
  <si>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</si>
  <si>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</si>
  <si>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</si>
  <si>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</si>
  <si>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</si>
  <si>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</si>
  <si>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</si>
  <si>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</si>
  <si>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</si>
  <si>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</si>
  <si>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</si>
  <si>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</si>
  <si>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</si>
  <si>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</si>
  <si>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</si>
  <si>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</si>
  <si>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</si>
  <si>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</si>
  <si>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</si>
  <si>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</si>
  <si>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</si>
  <si>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</si>
  <si>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</si>
  <si>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</si>
  <si>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</si>
  <si>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</si>
  <si>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</si>
  <si>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</si>
  <si>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</si>
  <si>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</si>
  <si>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</si>
  <si>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</si>
  <si>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</si>
  <si>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</si>
  <si>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</si>
  <si>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</si>
  <si>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</si>
  <si>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</si>
  <si>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</si>
  <si>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</si>
  <si>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</si>
  <si>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</si>
  <si>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</si>
  <si>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</si>
  <si>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</si>
  <si>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</si>
  <si>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</si>
  <si>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</si>
  <si>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</si>
  <si>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</si>
  <si>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</si>
  <si>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</si>
  <si>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</si>
  <si>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</si>
  <si>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</si>
  <si>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</si>
  <si>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</si>
  <si>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</si>
  <si>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</si>
  <si>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</si>
  <si>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</si>
  <si>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</si>
  <si>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</si>
  <si>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</si>
  <si>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</si>
  <si>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</si>
  <si>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</si>
  <si>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</si>
  <si>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</si>
  <si>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</si>
  <si>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</si>
  <si>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</si>
  <si>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</si>
  <si>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</si>
  <si>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</si>
  <si>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</si>
  <si>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</si>
  <si>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</si>
  <si>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</si>
  <si>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</si>
  <si>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</si>
  <si>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</si>
  <si>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</si>
  <si>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</si>
  <si>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</si>
  <si>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</si>
  <si>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</si>
  <si>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</si>
  <si>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</si>
  <si>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</si>
  <si>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</si>
  <si>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</si>
  <si>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</si>
  <si>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</si>
  <si>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</si>
  <si>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</si>
  <si>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</si>
  <si>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</si>
  <si>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</si>
  <si>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</si>
  <si>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</si>
  <si>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</si>
  <si>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</si>
  <si>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</si>
  <si>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</si>
  <si>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</si>
  <si>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</si>
  <si>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</si>
  <si>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</si>
  <si>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</si>
  <si>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</si>
  <si>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</si>
  <si>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</si>
  <si>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</si>
  <si>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</si>
  <si>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</si>
  <si>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</si>
  <si>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</si>
  <si>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</si>
  <si>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</si>
  <si>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</si>
  <si>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</si>
  <si>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</si>
  <si>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</si>
  <si>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</si>
  <si>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</si>
  <si>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</si>
  <si>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</si>
  <si>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</si>
  <si>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</si>
  <si>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</si>
  <si>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</si>
  <si>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</si>
  <si>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</si>
  <si>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</si>
  <si>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</si>
  <si>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</si>
  <si>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</si>
  <si>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</si>
  <si>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</si>
  <si>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</si>
  <si>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</si>
  <si>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</si>
  <si>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</si>
  <si>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</si>
  <si>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</si>
  <si>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</si>
  <si>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</si>
  <si>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</si>
  <si>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</si>
  <si>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</si>
  <si>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</si>
  <si>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</si>
  <si>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</si>
  <si>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</si>
  <si>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</si>
  <si>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</si>
  <si>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</si>
  <si>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</si>
  <si>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</si>
  <si>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</si>
  <si>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</si>
  <si>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</si>
  <si>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</si>
  <si>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</si>
  <si>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</si>
  <si>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</si>
  <si>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</si>
  <si>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</si>
  <si>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</si>
  <si>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</si>
  <si>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</si>
  <si>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</si>
  <si>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</si>
  <si>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</si>
  <si>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</si>
  <si>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</si>
  <si>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</si>
  <si>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</si>
  <si>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</si>
  <si>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</si>
  <si>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</si>
  <si>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</si>
  <si>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</si>
  <si>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</si>
  <si>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</si>
  <si>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</si>
  <si>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</si>
  <si>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</si>
  <si>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</si>
  <si>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</si>
  <si>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</si>
  <si>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</si>
  <si>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</si>
  <si>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</si>
  <si>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</si>
  <si>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</si>
  <si>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</si>
  <si>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</si>
  <si>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</si>
  <si>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</si>
  <si>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</si>
  <si>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</si>
  <si>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</si>
  <si>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</si>
  <si>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</si>
  <si>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</si>
  <si>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</si>
  <si>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</si>
  <si>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</si>
  <si>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</si>
  <si>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</si>
  <si>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</si>
  <si>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</si>
  <si>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</si>
  <si>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</si>
  <si>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</si>
  <si>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</si>
  <si>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</si>
  <si>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</si>
  <si>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</si>
  <si>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</si>
  <si>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</si>
  <si>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</si>
  <si>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</si>
  <si>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</si>
  <si>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</si>
  <si>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</si>
  <si>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</si>
  <si>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</si>
  <si>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</si>
  <si>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</si>
  <si>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</si>
  <si>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</si>
  <si>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</si>
  <si>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</si>
  <si>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</si>
  <si>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</si>
  <si>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</si>
  <si>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</si>
  <si>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</si>
  <si>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</si>
  <si>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</si>
  <si>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</si>
  <si>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</si>
  <si>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</si>
  <si>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</si>
  <si>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</si>
  <si>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</si>
  <si>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</si>
  <si>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</si>
  <si>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</si>
  <si>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</si>
  <si>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</si>
  <si>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</si>
  <si>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</si>
  <si>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</si>
  <si>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</si>
  <si>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</si>
  <si>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</si>
  <si>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</si>
  <si>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</si>
  <si>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</si>
  <si>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</si>
  <si>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</si>
  <si>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</si>
  <si>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</si>
  <si>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</si>
  <si>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</si>
  <si>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</si>
  <si>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</si>
  <si>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</si>
  <si>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</si>
  <si>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</si>
  <si>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</si>
  <si>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</si>
  <si>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</si>
  <si>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</si>
  <si>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</si>
  <si>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</si>
  <si>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</si>
  <si>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</si>
  <si>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</si>
  <si>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</si>
  <si>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</si>
  <si>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</si>
  <si>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</si>
  <si>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</si>
  <si>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</si>
  <si>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</si>
  <si>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</si>
  <si>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</si>
  <si>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</si>
  <si>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</si>
  <si>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</si>
  <si>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</si>
  <si>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</si>
  <si>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</si>
  <si>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</si>
  <si>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</si>
  <si>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</si>
  <si>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</si>
  <si>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</si>
  <si>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</si>
  <si>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</si>
  <si>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</si>
  <si>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</si>
  <si>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</si>
  <si>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</si>
  <si>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</si>
  <si>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</si>
  <si>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</si>
  <si>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</si>
  <si>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</si>
  <si>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</si>
  <si>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</si>
  <si>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</si>
  <si>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</si>
  <si>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</si>
  <si>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</si>
  <si>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</si>
  <si>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</si>
  <si>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</si>
  <si>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</si>
  <si>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</si>
  <si>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</si>
  <si>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</si>
  <si>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</si>
  <si>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</si>
  <si>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</si>
  <si>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</si>
  <si>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</si>
  <si>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</si>
  <si>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</si>
  <si>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</si>
  <si>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</si>
  <si>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</si>
  <si>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</si>
  <si>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</si>
  <si>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</si>
  <si>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</si>
  <si>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</si>
  <si>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</si>
  <si>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</si>
  <si>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</si>
  <si>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</si>
  <si>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</si>
  <si>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</si>
  <si>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</si>
  <si>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</si>
  <si>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</si>
  <si>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</si>
  <si>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</si>
  <si>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</si>
  <si>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</si>
  <si>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</si>
  <si>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</si>
  <si>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</si>
  <si>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</si>
  <si>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</si>
  <si>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</si>
  <si>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</si>
  <si>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</si>
  <si>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</si>
  <si>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</si>
  <si>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</si>
  <si>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</si>
  <si>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</si>
  <si>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</si>
  <si>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</si>
  <si>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</si>
  <si>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</si>
  <si>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</si>
  <si>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</si>
  <si>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</si>
  <si>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</si>
  <si>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</si>
  <si>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</si>
  <si>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</si>
  <si>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</si>
  <si>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</si>
  <si>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</si>
  <si>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</si>
  <si>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</si>
  <si>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</si>
  <si>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</si>
  <si>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</si>
  <si>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</si>
  <si>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</si>
  <si>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</si>
  <si>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</si>
  <si>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</si>
  <si>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</si>
  <si>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</si>
  <si>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</si>
  <si>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</si>
  <si>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</si>
  <si>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</si>
  <si>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</si>
  <si>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</si>
  <si>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</si>
  <si>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</si>
  <si>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</si>
  <si>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</si>
  <si>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</si>
  <si>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</si>
  <si>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</si>
  <si>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</si>
  <si>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</si>
  <si>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</si>
  <si>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</si>
  <si>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</si>
  <si>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</si>
  <si>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</si>
  <si>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</si>
  <si>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</si>
  <si>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</si>
  <si>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</si>
  <si>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</si>
  <si>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</si>
  <si>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</si>
  <si>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</si>
  <si>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</si>
  <si>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</si>
  <si>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</si>
  <si>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</si>
  <si>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</si>
  <si>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</si>
  <si>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</si>
  <si>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</si>
  <si>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</si>
  <si>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</si>
  <si>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</si>
  <si>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</si>
  <si>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</si>
  <si>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</si>
  <si>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</si>
  <si>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</si>
  <si>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</si>
  <si>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</si>
  <si>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</si>
  <si>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</si>
  <si>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</si>
  <si>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</si>
  <si>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</si>
  <si>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</si>
  <si>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</si>
  <si>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</si>
  <si>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</si>
  <si>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</si>
  <si>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</si>
  <si>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</si>
  <si>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</si>
  <si>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</si>
  <si>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</si>
  <si>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</si>
  <si>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</si>
  <si>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</si>
  <si>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</si>
  <si>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</si>
  <si>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</si>
  <si>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</si>
  <si>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</si>
  <si>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</si>
  <si>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</si>
  <si>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</si>
  <si>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</si>
  <si>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</si>
  <si>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</si>
  <si>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</si>
  <si>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</si>
  <si>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</si>
  <si>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</si>
  <si>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</si>
  <si>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</si>
  <si>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</si>
  <si>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</si>
  <si>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</si>
  <si>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</si>
  <si>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</si>
  <si>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</si>
  <si>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</si>
  <si>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</si>
  <si>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</si>
  <si>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</si>
  <si>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</si>
  <si>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</si>
  <si>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</si>
  <si>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</si>
  <si>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</si>
  <si>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</si>
  <si>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</si>
  <si>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</si>
  <si>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</si>
  <si>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</si>
  <si>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</si>
  <si>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</si>
  <si>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</si>
  <si>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</si>
  <si>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</si>
  <si>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</si>
  <si>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</si>
  <si>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</si>
  <si>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</si>
  <si>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</si>
  <si>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</si>
  <si>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</si>
  <si>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</si>
  <si>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</si>
  <si>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</si>
  <si>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</si>
  <si>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</si>
  <si>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</si>
  <si>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</si>
  <si>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</si>
  <si>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</si>
  <si>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</si>
  <si>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</si>
  <si>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</si>
  <si>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</si>
  <si>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</si>
  <si>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</si>
  <si>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</si>
  <si>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</si>
  <si>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</si>
  <si>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</si>
  <si>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</si>
  <si>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</si>
  <si>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</si>
  <si>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</si>
  <si>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</si>
  <si>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</si>
  <si>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</si>
  <si>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</si>
  <si>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</si>
  <si>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</si>
  <si>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</si>
  <si>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</si>
  <si>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</si>
  <si>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</si>
  <si>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</si>
  <si>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</si>
  <si>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</si>
  <si>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</si>
  <si>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</si>
  <si>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</si>
  <si>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</si>
  <si>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</si>
  <si>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</si>
  <si>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</si>
  <si>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</si>
  <si>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</si>
  <si>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</si>
  <si>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</si>
  <si>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</si>
  <si>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</si>
  <si>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</si>
  <si>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</si>
  <si>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</si>
  <si>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</si>
  <si>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</si>
  <si>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</si>
  <si>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</si>
  <si>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</si>
  <si>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</si>
  <si>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</si>
  <si>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</si>
  <si>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</si>
  <si>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</si>
  <si>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</si>
  <si>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</si>
  <si>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</si>
  <si>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</si>
  <si>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</si>
  <si>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</si>
  <si>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</si>
  <si>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</si>
  <si>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</si>
  <si>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</si>
  <si>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</si>
  <si>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</si>
  <si>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</si>
  <si>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</si>
  <si>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</si>
  <si>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</si>
  <si>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</si>
  <si>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</si>
  <si>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</si>
  <si>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</si>
  <si>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</si>
  <si>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</si>
  <si>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</si>
  <si>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</si>
  <si>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</si>
  <si>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</si>
  <si>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</si>
  <si>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</si>
  <si>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</si>
  <si>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</si>
  <si>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</si>
  <si>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</si>
  <si>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</si>
  <si>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</si>
  <si>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</si>
  <si>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</si>
  <si>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</si>
  <si>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</si>
  <si>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</si>
  <si>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</si>
  <si>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</si>
  <si>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</si>
  <si>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</si>
  <si>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</si>
  <si>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</si>
  <si>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</si>
  <si>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</si>
  <si>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</si>
  <si>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</si>
  <si>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</si>
  <si>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</si>
  <si>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</si>
  <si>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</si>
  <si>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</si>
  <si>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</si>
  <si>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</si>
  <si>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</si>
  <si>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</si>
  <si>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</si>
  <si>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</si>
  <si>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</si>
  <si>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</si>
  <si>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</si>
  <si>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</si>
  <si>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</si>
  <si>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</si>
  <si>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</si>
  <si>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</si>
  <si>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</si>
  <si>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</si>
  <si>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</si>
  <si>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</si>
  <si>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</si>
  <si>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</si>
  <si>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</si>
  <si>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</si>
  <si>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</si>
  <si>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</si>
  <si>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</si>
  <si>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</si>
  <si>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</si>
  <si>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</si>
  <si>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</si>
  <si>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</si>
  <si>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</si>
  <si>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</si>
  <si>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</si>
  <si>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</si>
  <si>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</si>
  <si>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</si>
  <si>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</si>
  <si>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</si>
  <si>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</si>
  <si>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</si>
  <si>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</si>
  <si>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</si>
  <si>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</si>
  <si>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</si>
  <si>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</si>
  <si>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</si>
  <si>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</si>
  <si>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</si>
  <si>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</si>
  <si>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</si>
  <si>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</si>
  <si>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</si>
  <si>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Tmpc</t>
  </si>
  <si>
    <t>N</t>
  </si>
  <si>
    <t>mpc_step_mult</t>
  </si>
  <si>
    <t>Wf</t>
  </si>
  <si>
    <t>Wr</t>
  </si>
  <si>
    <t>Wp</t>
  </si>
  <si>
    <t>bus3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</si>
</sst>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1" fillId="1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46" sqref="D46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topLeftCell="A9" zoomScale="103" workbookViewId="0">
      <selection activeCell="B47" sqref="B47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v>0.29962879999999997</v>
      </c>
      <c r="H37" s="32">
        <v>9.8483224013816553E-2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v>0.29962879999999997</v>
      </c>
      <c r="H38" s="32">
        <v>9.8483224013816553E-2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v>0.29962879999999997</v>
      </c>
      <c r="H39" s="32">
        <v>9.8483224013816553E-2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v>0.29962879999999997</v>
      </c>
      <c r="H40" s="32">
        <v>9.8483224013816553E-2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v>0.26103399999999999</v>
      </c>
      <c r="H41" s="32">
        <v>8.5797726711259376E-2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v>0.211034</v>
      </c>
      <c r="H42" s="32">
        <v>6.9363521452316224E-2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v>0.05</v>
      </c>
      <c r="H43" s="32">
        <v>1.6434205258943162E-2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v>0.10199</v>
      </c>
      <c r="H44" s="32">
        <v>3.3522491887192259E-2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v>0.05</v>
      </c>
      <c r="H45" s="32">
        <v>1.6434205258943162E-2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v>0.29962879999999997</v>
      </c>
      <c r="H46" s="32">
        <v>9.8483224013816553E-2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"/>
  <sheetViews>
    <sheetView zoomScale="99" workbookViewId="0">
      <pane ySplit="1" topLeftCell="A118" activePane="bottomLeft" state="frozen"/>
      <selection pane="bottomLeft" activeCell="L127" sqref="L127"/>
    </sheetView>
  </sheetViews>
  <sheetFormatPr defaultColWidth="8.85546875" defaultRowHeight="15" x14ac:dyDescent="0.25"/>
  <cols>
    <col min="4" max="4" width="43.5703125" bestFit="1" customWidth="1"/>
    <col min="20" max="20" width="12.1406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1972</v>
      </c>
      <c r="F2">
        <v>380</v>
      </c>
      <c r="G2">
        <v>38</v>
      </c>
      <c r="I2" s="32">
        <f>0.1/2</f>
        <v>0.05</v>
      </c>
      <c r="J2">
        <v>0</v>
      </c>
      <c r="K2">
        <f>E2/2000</f>
        <v>0.98599999999999999</v>
      </c>
      <c r="L2">
        <f>-K2</f>
        <v>-0.98599999999999999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1972</v>
      </c>
      <c r="F3">
        <v>380</v>
      </c>
      <c r="G3">
        <v>39</v>
      </c>
      <c r="I3" s="32">
        <f t="shared" ref="I3:I7" si="0">0.1/2</f>
        <v>0.05</v>
      </c>
      <c r="J3">
        <v>0</v>
      </c>
      <c r="K3">
        <f t="shared" ref="K3:K66" si="1">E3/2000</f>
        <v>0.98599999999999999</v>
      </c>
      <c r="L3">
        <f t="shared" ref="L3:L10" si="2">-K3</f>
        <v>-0.98599999999999999</v>
      </c>
      <c r="M3">
        <f t="shared" ref="M3:M10" si="3">5/2</f>
        <v>2.5</v>
      </c>
      <c r="N3">
        <f t="shared" ref="N3:N10" si="4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986</v>
      </c>
      <c r="F4">
        <v>380</v>
      </c>
      <c r="G4">
        <v>41</v>
      </c>
      <c r="I4" s="32">
        <f t="shared" si="0"/>
        <v>0.05</v>
      </c>
      <c r="J4">
        <v>0</v>
      </c>
      <c r="K4">
        <f t="shared" si="1"/>
        <v>0.49299999999999999</v>
      </c>
      <c r="L4">
        <f t="shared" si="2"/>
        <v>-0.49299999999999999</v>
      </c>
      <c r="M4">
        <f t="shared" si="3"/>
        <v>2.5</v>
      </c>
      <c r="N4">
        <f t="shared" si="4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986</v>
      </c>
      <c r="F5">
        <v>380</v>
      </c>
      <c r="G5">
        <v>42</v>
      </c>
      <c r="I5" s="32">
        <f t="shared" si="0"/>
        <v>0.05</v>
      </c>
      <c r="J5">
        <v>0</v>
      </c>
      <c r="K5">
        <f t="shared" si="1"/>
        <v>0.49299999999999999</v>
      </c>
      <c r="L5">
        <f t="shared" si="2"/>
        <v>-0.49299999999999999</v>
      </c>
      <c r="M5">
        <f t="shared" si="3"/>
        <v>2.5</v>
      </c>
      <c r="N5">
        <f t="shared" si="4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1128</v>
      </c>
      <c r="F6">
        <v>380</v>
      </c>
      <c r="G6">
        <v>43</v>
      </c>
      <c r="I6" s="32">
        <f t="shared" si="0"/>
        <v>0.05</v>
      </c>
      <c r="J6">
        <v>0</v>
      </c>
      <c r="K6">
        <f t="shared" si="1"/>
        <v>0.56399999999999995</v>
      </c>
      <c r="L6">
        <f t="shared" si="2"/>
        <v>-0.56399999999999995</v>
      </c>
      <c r="M6">
        <f t="shared" si="3"/>
        <v>2.5</v>
      </c>
      <c r="N6">
        <f t="shared" si="4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1128</v>
      </c>
      <c r="F7">
        <v>380</v>
      </c>
      <c r="G7">
        <v>44</v>
      </c>
      <c r="I7" s="32">
        <f t="shared" si="0"/>
        <v>0.05</v>
      </c>
      <c r="J7">
        <v>0</v>
      </c>
      <c r="K7">
        <f t="shared" si="1"/>
        <v>0.56399999999999995</v>
      </c>
      <c r="L7">
        <f t="shared" si="2"/>
        <v>-0.56399999999999995</v>
      </c>
      <c r="M7">
        <f t="shared" si="3"/>
        <v>2.5</v>
      </c>
      <c r="N7">
        <f t="shared" si="4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1000</v>
      </c>
      <c r="F8">
        <v>380</v>
      </c>
      <c r="G8">
        <v>35</v>
      </c>
      <c r="I8" s="35">
        <f>0.100864/2</f>
        <v>5.0431999999999998E-2</v>
      </c>
      <c r="J8">
        <v>0</v>
      </c>
      <c r="K8">
        <f t="shared" si="1"/>
        <v>0.5</v>
      </c>
      <c r="L8">
        <f t="shared" si="2"/>
        <v>-0.5</v>
      </c>
      <c r="M8">
        <f t="shared" si="3"/>
        <v>2.5</v>
      </c>
      <c r="N8">
        <f t="shared" si="4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700</v>
      </c>
      <c r="F9">
        <v>380</v>
      </c>
      <c r="G9">
        <v>36</v>
      </c>
      <c r="I9" s="32">
        <f>0.1/2</f>
        <v>0.05</v>
      </c>
      <c r="J9">
        <v>0</v>
      </c>
      <c r="K9">
        <f t="shared" si="1"/>
        <v>0.35</v>
      </c>
      <c r="L9">
        <f t="shared" si="2"/>
        <v>-0.35</v>
      </c>
      <c r="M9">
        <f t="shared" si="3"/>
        <v>2.5</v>
      </c>
      <c r="N9">
        <f t="shared" si="4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700</v>
      </c>
      <c r="F10" s="10">
        <v>380</v>
      </c>
      <c r="G10" s="10">
        <v>37</v>
      </c>
      <c r="H10" s="10"/>
      <c r="I10" s="35">
        <f>0.49222/2</f>
        <v>0.24611</v>
      </c>
      <c r="J10" s="10">
        <v>0</v>
      </c>
      <c r="K10">
        <f t="shared" si="1"/>
        <v>0.35</v>
      </c>
      <c r="L10" s="10">
        <f t="shared" si="2"/>
        <v>-0.35</v>
      </c>
      <c r="M10">
        <f t="shared" si="3"/>
        <v>2.5</v>
      </c>
      <c r="N10">
        <f t="shared" si="4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1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5">0.6*E12/2000</f>
        <v>3.7499999999999999E-2</v>
      </c>
      <c r="J12">
        <v>0</v>
      </c>
      <c r="K12">
        <f t="shared" si="1"/>
        <v>6.25E-2</v>
      </c>
      <c r="L12">
        <v>0</v>
      </c>
      <c r="M12">
        <f t="shared" ref="M12:M75" si="6">0.33*E12/2000</f>
        <v>2.0625000000000001E-2</v>
      </c>
      <c r="N12">
        <f t="shared" ref="N12:N13" si="7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5"/>
        <v>2.1000000000000003E-3</v>
      </c>
      <c r="J13">
        <v>0</v>
      </c>
      <c r="K13">
        <f t="shared" si="1"/>
        <v>3.5000000000000001E-3</v>
      </c>
      <c r="L13">
        <v>0</v>
      </c>
      <c r="M13">
        <f t="shared" si="6"/>
        <v>1.155E-3</v>
      </c>
      <c r="N13">
        <f t="shared" si="7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5"/>
        <v>1.14E-2</v>
      </c>
      <c r="J14">
        <v>0</v>
      </c>
      <c r="K14">
        <f t="shared" si="1"/>
        <v>1.9E-2</v>
      </c>
      <c r="L14">
        <v>0</v>
      </c>
      <c r="M14">
        <f t="shared" si="6"/>
        <v>6.2700000000000004E-3</v>
      </c>
      <c r="N14">
        <f t="shared" ref="N14:N77" si="8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1"/>
        <v>0.24249999999999999</v>
      </c>
      <c r="L15">
        <v>0</v>
      </c>
      <c r="M15">
        <f t="shared" si="6"/>
        <v>8.0024999999999999E-2</v>
      </c>
      <c r="N15">
        <f t="shared" si="8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1"/>
        <v>2.4E-2</v>
      </c>
      <c r="L16">
        <v>0</v>
      </c>
      <c r="M16">
        <f t="shared" si="6"/>
        <v>7.92E-3</v>
      </c>
      <c r="N16">
        <f t="shared" si="8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9">0.6*E17/2000</f>
        <v>0.13650000000000001</v>
      </c>
      <c r="J17">
        <v>0</v>
      </c>
      <c r="K17">
        <f t="shared" si="1"/>
        <v>0.22750000000000001</v>
      </c>
      <c r="L17">
        <v>0</v>
      </c>
      <c r="M17">
        <f t="shared" si="6"/>
        <v>7.5075000000000003E-2</v>
      </c>
      <c r="N17">
        <f t="shared" si="8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9"/>
        <v>0.25319999999999998</v>
      </c>
      <c r="J18">
        <v>0</v>
      </c>
      <c r="K18">
        <f t="shared" si="1"/>
        <v>0.42199999999999999</v>
      </c>
      <c r="L18">
        <v>0</v>
      </c>
      <c r="M18">
        <f t="shared" si="6"/>
        <v>0.13926000000000002</v>
      </c>
      <c r="N18">
        <f t="shared" si="8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9"/>
        <v>2.1599999999999998E-2</v>
      </c>
      <c r="J19">
        <v>0</v>
      </c>
      <c r="K19">
        <f t="shared" si="1"/>
        <v>3.5999999999999997E-2</v>
      </c>
      <c r="L19">
        <v>0</v>
      </c>
      <c r="M19">
        <f t="shared" si="6"/>
        <v>1.188E-2</v>
      </c>
      <c r="N19">
        <f t="shared" si="8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9"/>
        <v>2.1599999999999998E-2</v>
      </c>
      <c r="J20">
        <v>0</v>
      </c>
      <c r="K20">
        <f t="shared" si="1"/>
        <v>3.5999999999999997E-2</v>
      </c>
      <c r="L20">
        <v>0</v>
      </c>
      <c r="M20">
        <f t="shared" si="6"/>
        <v>1.188E-2</v>
      </c>
      <c r="N20">
        <f t="shared" si="8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9"/>
        <v>3.9299999999999995E-2</v>
      </c>
      <c r="J21">
        <v>0</v>
      </c>
      <c r="K21">
        <f t="shared" si="1"/>
        <v>6.5500000000000003E-2</v>
      </c>
      <c r="L21">
        <v>0</v>
      </c>
      <c r="M21">
        <f t="shared" si="6"/>
        <v>2.1615000000000002E-2</v>
      </c>
      <c r="N21">
        <f t="shared" si="8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9"/>
        <v>0.1077</v>
      </c>
      <c r="J22">
        <v>0</v>
      </c>
      <c r="K22">
        <f t="shared" si="1"/>
        <v>0.17949999999999999</v>
      </c>
      <c r="L22">
        <v>0</v>
      </c>
      <c r="M22">
        <f t="shared" si="6"/>
        <v>5.9234999999999996E-2</v>
      </c>
      <c r="N22">
        <f t="shared" si="8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9"/>
        <v>0.1077</v>
      </c>
      <c r="J23">
        <v>0</v>
      </c>
      <c r="K23">
        <f t="shared" si="1"/>
        <v>0.17949999999999999</v>
      </c>
      <c r="L23">
        <v>0</v>
      </c>
      <c r="M23">
        <f t="shared" si="6"/>
        <v>5.9234999999999996E-2</v>
      </c>
      <c r="N23">
        <f t="shared" si="8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9"/>
        <v>0.10829999999999999</v>
      </c>
      <c r="J24">
        <v>0</v>
      </c>
      <c r="K24">
        <f t="shared" si="1"/>
        <v>0.18049999999999999</v>
      </c>
      <c r="L24">
        <v>0</v>
      </c>
      <c r="M24">
        <f t="shared" si="6"/>
        <v>5.9565000000000007E-2</v>
      </c>
      <c r="N24">
        <f t="shared" si="8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9"/>
        <v>0.1077</v>
      </c>
      <c r="J25">
        <v>0</v>
      </c>
      <c r="K25">
        <f t="shared" si="1"/>
        <v>0.17949999999999999</v>
      </c>
      <c r="L25">
        <v>0</v>
      </c>
      <c r="M25">
        <f t="shared" si="6"/>
        <v>5.9234999999999996E-2</v>
      </c>
      <c r="N25">
        <f t="shared" si="8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9"/>
        <v>0.108</v>
      </c>
      <c r="J26">
        <v>0</v>
      </c>
      <c r="K26">
        <f t="shared" si="1"/>
        <v>0.18</v>
      </c>
      <c r="L26">
        <v>0</v>
      </c>
      <c r="M26">
        <f t="shared" si="6"/>
        <v>5.9400000000000008E-2</v>
      </c>
      <c r="N26">
        <f t="shared" si="8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9"/>
        <v>0.1278</v>
      </c>
      <c r="J27">
        <v>0</v>
      </c>
      <c r="K27">
        <f t="shared" si="1"/>
        <v>0.21299999999999999</v>
      </c>
      <c r="L27">
        <v>0</v>
      </c>
      <c r="M27">
        <f t="shared" si="6"/>
        <v>7.0290000000000005E-2</v>
      </c>
      <c r="N27">
        <f t="shared" si="8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9"/>
        <v>0.1245</v>
      </c>
      <c r="J28">
        <v>0</v>
      </c>
      <c r="K28">
        <f t="shared" si="1"/>
        <v>0.20749999999999999</v>
      </c>
      <c r="L28">
        <v>0</v>
      </c>
      <c r="M28">
        <f t="shared" si="6"/>
        <v>6.8475000000000008E-2</v>
      </c>
      <c r="N28">
        <f t="shared" si="8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9"/>
        <v>2.4899999999999999E-2</v>
      </c>
      <c r="J29">
        <v>0</v>
      </c>
      <c r="K29">
        <f t="shared" si="1"/>
        <v>4.1500000000000002E-2</v>
      </c>
      <c r="L29">
        <v>0</v>
      </c>
      <c r="M29">
        <f t="shared" si="6"/>
        <v>1.3695000000000001E-2</v>
      </c>
      <c r="N29">
        <f t="shared" si="8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9"/>
        <v>3.3600000000000005E-2</v>
      </c>
      <c r="J30">
        <v>0</v>
      </c>
      <c r="K30">
        <f t="shared" si="1"/>
        <v>5.6000000000000001E-2</v>
      </c>
      <c r="L30">
        <v>0</v>
      </c>
      <c r="M30">
        <f t="shared" si="6"/>
        <v>1.848E-2</v>
      </c>
      <c r="N30">
        <f t="shared" si="8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9"/>
        <v>7.1999999999999989E-3</v>
      </c>
      <c r="J31">
        <v>0</v>
      </c>
      <c r="K31">
        <f t="shared" si="1"/>
        <v>1.2E-2</v>
      </c>
      <c r="L31">
        <v>0</v>
      </c>
      <c r="M31">
        <f t="shared" si="6"/>
        <v>3.96E-3</v>
      </c>
      <c r="N31">
        <f t="shared" si="8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9"/>
        <v>7.1999999999999989E-3</v>
      </c>
      <c r="J32">
        <v>0</v>
      </c>
      <c r="K32">
        <f t="shared" si="1"/>
        <v>1.2E-2</v>
      </c>
      <c r="L32">
        <v>0</v>
      </c>
      <c r="M32">
        <f t="shared" si="6"/>
        <v>3.96E-3</v>
      </c>
      <c r="N32">
        <f t="shared" si="8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9"/>
        <v>6.6000000000000003E-2</v>
      </c>
      <c r="J33">
        <v>0</v>
      </c>
      <c r="K33">
        <f t="shared" si="1"/>
        <v>0.11</v>
      </c>
      <c r="L33">
        <v>0</v>
      </c>
      <c r="M33">
        <f t="shared" si="6"/>
        <v>3.6300000000000006E-2</v>
      </c>
      <c r="N33">
        <f t="shared" si="8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9"/>
        <v>2.3699999999999999E-2</v>
      </c>
      <c r="J34">
        <v>0</v>
      </c>
      <c r="K34">
        <f t="shared" si="1"/>
        <v>3.95E-2</v>
      </c>
      <c r="L34">
        <v>0</v>
      </c>
      <c r="M34">
        <f t="shared" si="6"/>
        <v>1.3035E-2</v>
      </c>
      <c r="N34">
        <f t="shared" si="8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9"/>
        <v>0.1305</v>
      </c>
      <c r="J35">
        <v>0</v>
      </c>
      <c r="K35">
        <f t="shared" si="1"/>
        <v>0.2175</v>
      </c>
      <c r="L35">
        <v>0</v>
      </c>
      <c r="M35">
        <f t="shared" si="6"/>
        <v>7.1775000000000005E-2</v>
      </c>
      <c r="N35">
        <f t="shared" si="8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9"/>
        <v>0.1305</v>
      </c>
      <c r="J36">
        <v>0</v>
      </c>
      <c r="K36">
        <f t="shared" si="1"/>
        <v>0.2175</v>
      </c>
      <c r="L36">
        <v>0</v>
      </c>
      <c r="M36">
        <f t="shared" si="6"/>
        <v>7.1775000000000005E-2</v>
      </c>
      <c r="N36">
        <f t="shared" si="8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9"/>
        <v>0.18</v>
      </c>
      <c r="J37">
        <v>0</v>
      </c>
      <c r="K37">
        <f t="shared" si="1"/>
        <v>0.3</v>
      </c>
      <c r="L37">
        <v>0</v>
      </c>
      <c r="M37">
        <f t="shared" si="6"/>
        <v>9.9000000000000005E-2</v>
      </c>
      <c r="N37">
        <f t="shared" si="8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9"/>
        <v>1.7999999999999999E-2</v>
      </c>
      <c r="J38">
        <v>0</v>
      </c>
      <c r="K38">
        <f t="shared" si="1"/>
        <v>0.03</v>
      </c>
      <c r="L38">
        <v>0</v>
      </c>
      <c r="M38">
        <f t="shared" si="6"/>
        <v>9.9000000000000008E-3</v>
      </c>
      <c r="N38">
        <f t="shared" si="8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9"/>
        <v>5.3999999999999999E-2</v>
      </c>
      <c r="J39">
        <v>0</v>
      </c>
      <c r="K39">
        <f t="shared" si="1"/>
        <v>0.09</v>
      </c>
      <c r="L39">
        <v>0</v>
      </c>
      <c r="M39">
        <f t="shared" si="6"/>
        <v>2.9700000000000004E-2</v>
      </c>
      <c r="N39">
        <f t="shared" si="8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9"/>
        <v>0.192</v>
      </c>
      <c r="J40">
        <v>0</v>
      </c>
      <c r="K40">
        <f t="shared" si="1"/>
        <v>0.32</v>
      </c>
      <c r="L40">
        <v>0</v>
      </c>
      <c r="M40">
        <f t="shared" si="6"/>
        <v>0.10560000000000001</v>
      </c>
      <c r="N40">
        <f t="shared" si="8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9"/>
        <v>0.38250000000000001</v>
      </c>
      <c r="J41">
        <v>0</v>
      </c>
      <c r="K41">
        <f t="shared" si="1"/>
        <v>0.63749999999999996</v>
      </c>
      <c r="L41">
        <v>0</v>
      </c>
      <c r="M41">
        <f t="shared" si="6"/>
        <v>0.21037500000000001</v>
      </c>
      <c r="N41">
        <f t="shared" si="8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9"/>
        <v>0.105</v>
      </c>
      <c r="J42">
        <v>0</v>
      </c>
      <c r="K42">
        <f t="shared" si="1"/>
        <v>0.17499999999999999</v>
      </c>
      <c r="L42">
        <v>0</v>
      </c>
      <c r="M42">
        <f t="shared" si="6"/>
        <v>5.7750000000000003E-2</v>
      </c>
      <c r="N42">
        <f t="shared" si="8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9"/>
        <v>1.89E-2</v>
      </c>
      <c r="J43">
        <v>0</v>
      </c>
      <c r="K43">
        <f t="shared" si="1"/>
        <v>3.15E-2</v>
      </c>
      <c r="L43">
        <v>0</v>
      </c>
      <c r="M43">
        <f t="shared" si="6"/>
        <v>1.0395000000000001E-2</v>
      </c>
      <c r="N43">
        <f t="shared" si="8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9"/>
        <v>1.89E-2</v>
      </c>
      <c r="J44">
        <v>0</v>
      </c>
      <c r="K44">
        <f t="shared" si="1"/>
        <v>3.15E-2</v>
      </c>
      <c r="L44">
        <v>0</v>
      </c>
      <c r="M44">
        <f t="shared" si="6"/>
        <v>1.0395000000000001E-2</v>
      </c>
      <c r="N44">
        <f t="shared" si="8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9"/>
        <v>6.9000000000000006E-2</v>
      </c>
      <c r="J45">
        <v>0</v>
      </c>
      <c r="K45">
        <f t="shared" si="1"/>
        <v>0.115</v>
      </c>
      <c r="L45">
        <v>0</v>
      </c>
      <c r="M45">
        <f t="shared" si="6"/>
        <v>3.7950000000000005E-2</v>
      </c>
      <c r="N45">
        <f t="shared" si="8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9"/>
        <v>9.9000000000000008E-3</v>
      </c>
      <c r="J46">
        <v>0</v>
      </c>
      <c r="K46">
        <f t="shared" si="1"/>
        <v>1.6500000000000001E-2</v>
      </c>
      <c r="L46">
        <v>0</v>
      </c>
      <c r="M46">
        <f t="shared" si="6"/>
        <v>5.4450000000000002E-3</v>
      </c>
      <c r="N46">
        <f t="shared" si="8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9"/>
        <v>7.4999999999999997E-3</v>
      </c>
      <c r="J47">
        <v>0</v>
      </c>
      <c r="K47">
        <f t="shared" si="1"/>
        <v>1.2500000000000001E-2</v>
      </c>
      <c r="L47">
        <v>0</v>
      </c>
      <c r="M47">
        <f t="shared" si="6"/>
        <v>4.1250000000000002E-3</v>
      </c>
      <c r="N47">
        <f t="shared" si="8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9"/>
        <v>9.5999999999999992E-3</v>
      </c>
      <c r="J48">
        <v>0</v>
      </c>
      <c r="K48">
        <f t="shared" si="1"/>
        <v>1.6E-2</v>
      </c>
      <c r="L48">
        <v>0</v>
      </c>
      <c r="M48">
        <f t="shared" si="6"/>
        <v>5.28E-3</v>
      </c>
      <c r="N48">
        <f t="shared" si="8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9"/>
        <v>3.8399999999999997E-2</v>
      </c>
      <c r="J49">
        <v>0</v>
      </c>
      <c r="K49">
        <f t="shared" si="1"/>
        <v>6.4000000000000001E-2</v>
      </c>
      <c r="L49">
        <v>0</v>
      </c>
      <c r="M49">
        <f t="shared" si="6"/>
        <v>2.112E-2</v>
      </c>
      <c r="N49">
        <f t="shared" si="8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9"/>
        <v>1.8599999999999998E-2</v>
      </c>
      <c r="J50">
        <v>0</v>
      </c>
      <c r="K50">
        <f t="shared" si="1"/>
        <v>3.1E-2</v>
      </c>
      <c r="L50">
        <v>0</v>
      </c>
      <c r="M50">
        <f t="shared" si="6"/>
        <v>1.0230000000000001E-2</v>
      </c>
      <c r="N50">
        <f t="shared" si="8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9"/>
        <v>1.6500000000000001E-2</v>
      </c>
      <c r="J51">
        <v>0</v>
      </c>
      <c r="K51">
        <f t="shared" si="1"/>
        <v>2.75E-2</v>
      </c>
      <c r="L51">
        <v>0</v>
      </c>
      <c r="M51">
        <f t="shared" si="6"/>
        <v>9.0750000000000015E-3</v>
      </c>
      <c r="N51">
        <f t="shared" si="8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9"/>
        <v>7.4700000000000003E-2</v>
      </c>
      <c r="J52">
        <v>0</v>
      </c>
      <c r="K52">
        <f t="shared" si="1"/>
        <v>0.1245</v>
      </c>
      <c r="L52">
        <v>0</v>
      </c>
      <c r="M52">
        <f t="shared" si="6"/>
        <v>4.1085000000000003E-2</v>
      </c>
      <c r="N52">
        <f t="shared" si="8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9"/>
        <v>4.3199999999999995E-2</v>
      </c>
      <c r="J53">
        <v>0</v>
      </c>
      <c r="K53">
        <f t="shared" si="1"/>
        <v>7.1999999999999995E-2</v>
      </c>
      <c r="L53">
        <v>0</v>
      </c>
      <c r="M53">
        <f t="shared" si="6"/>
        <v>2.376E-2</v>
      </c>
      <c r="N53">
        <f t="shared" si="8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9"/>
        <v>7.4399999999999994E-2</v>
      </c>
      <c r="J54">
        <v>0</v>
      </c>
      <c r="K54">
        <f t="shared" si="1"/>
        <v>0.124</v>
      </c>
      <c r="L54">
        <v>0</v>
      </c>
      <c r="M54">
        <f t="shared" si="6"/>
        <v>4.0920000000000005E-2</v>
      </c>
      <c r="N54">
        <f t="shared" si="8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9"/>
        <v>3.0899999999999997E-2</v>
      </c>
      <c r="J55">
        <v>0</v>
      </c>
      <c r="K55">
        <f t="shared" si="1"/>
        <v>5.1499999999999997E-2</v>
      </c>
      <c r="L55">
        <v>0</v>
      </c>
      <c r="M55">
        <f t="shared" si="6"/>
        <v>1.6995E-2</v>
      </c>
      <c r="N55">
        <f t="shared" si="8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9"/>
        <v>6.7500000000000004E-2</v>
      </c>
      <c r="J56">
        <v>0</v>
      </c>
      <c r="K56">
        <f t="shared" si="1"/>
        <v>0.1125</v>
      </c>
      <c r="L56">
        <v>0</v>
      </c>
      <c r="M56">
        <f t="shared" si="6"/>
        <v>3.7124999999999998E-2</v>
      </c>
      <c r="N56">
        <f t="shared" si="8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9"/>
        <v>2.0099999999999996E-2</v>
      </c>
      <c r="J57">
        <v>0</v>
      </c>
      <c r="K57">
        <f t="shared" si="1"/>
        <v>3.3500000000000002E-2</v>
      </c>
      <c r="L57">
        <v>0</v>
      </c>
      <c r="M57">
        <f t="shared" si="6"/>
        <v>1.1054999999999999E-2</v>
      </c>
      <c r="N57">
        <f t="shared" si="8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9"/>
        <v>0.13800000000000001</v>
      </c>
      <c r="J58">
        <v>0</v>
      </c>
      <c r="K58">
        <f t="shared" si="1"/>
        <v>0.23</v>
      </c>
      <c r="L58">
        <v>0</v>
      </c>
      <c r="M58">
        <f t="shared" si="6"/>
        <v>7.5900000000000009E-2</v>
      </c>
      <c r="N58">
        <f t="shared" si="8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9"/>
        <v>0.114</v>
      </c>
      <c r="J59">
        <v>0</v>
      </c>
      <c r="K59">
        <f t="shared" si="1"/>
        <v>0.19</v>
      </c>
      <c r="L59">
        <v>0</v>
      </c>
      <c r="M59">
        <f t="shared" si="6"/>
        <v>6.2700000000000006E-2</v>
      </c>
      <c r="N59">
        <f t="shared" si="8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9"/>
        <v>0.13200000000000001</v>
      </c>
      <c r="J60">
        <v>0</v>
      </c>
      <c r="K60">
        <f t="shared" si="1"/>
        <v>0.22</v>
      </c>
      <c r="L60">
        <v>0</v>
      </c>
      <c r="M60">
        <f t="shared" si="6"/>
        <v>7.2600000000000012E-2</v>
      </c>
      <c r="N60">
        <f t="shared" si="8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9"/>
        <v>0.1278</v>
      </c>
      <c r="J61">
        <v>0</v>
      </c>
      <c r="K61">
        <f t="shared" si="1"/>
        <v>0.21299999999999999</v>
      </c>
      <c r="L61">
        <v>0</v>
      </c>
      <c r="M61">
        <f t="shared" si="6"/>
        <v>7.0290000000000005E-2</v>
      </c>
      <c r="N61">
        <f t="shared" si="8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9"/>
        <v>0.10529999999999999</v>
      </c>
      <c r="J62">
        <v>0</v>
      </c>
      <c r="K62">
        <f t="shared" si="1"/>
        <v>0.17549999999999999</v>
      </c>
      <c r="L62">
        <v>0</v>
      </c>
      <c r="M62">
        <f t="shared" si="6"/>
        <v>5.7915000000000008E-2</v>
      </c>
      <c r="N62">
        <f t="shared" si="8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9"/>
        <v>0.1245</v>
      </c>
      <c r="J63">
        <v>0</v>
      </c>
      <c r="K63">
        <f t="shared" si="1"/>
        <v>0.20749999999999999</v>
      </c>
      <c r="L63">
        <v>0</v>
      </c>
      <c r="M63">
        <f t="shared" si="6"/>
        <v>6.8475000000000008E-2</v>
      </c>
      <c r="N63">
        <f t="shared" si="8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9"/>
        <v>7.1999999999999989E-3</v>
      </c>
      <c r="J64">
        <v>0</v>
      </c>
      <c r="K64">
        <f t="shared" si="1"/>
        <v>1.2E-2</v>
      </c>
      <c r="L64">
        <v>0</v>
      </c>
      <c r="M64">
        <f t="shared" si="6"/>
        <v>3.96E-3</v>
      </c>
      <c r="N64">
        <f t="shared" si="8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9"/>
        <v>0.13109999999999999</v>
      </c>
      <c r="J65">
        <v>0</v>
      </c>
      <c r="K65">
        <f t="shared" si="1"/>
        <v>0.2185</v>
      </c>
      <c r="L65">
        <v>0</v>
      </c>
      <c r="M65">
        <f t="shared" si="6"/>
        <v>7.2105000000000002E-2</v>
      </c>
      <c r="N65">
        <f t="shared" si="8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9"/>
        <v>0.13109999999999999</v>
      </c>
      <c r="J66">
        <v>0</v>
      </c>
      <c r="K66">
        <f t="shared" si="1"/>
        <v>0.2185</v>
      </c>
      <c r="L66">
        <v>0</v>
      </c>
      <c r="M66">
        <f t="shared" si="6"/>
        <v>7.2105000000000002E-2</v>
      </c>
      <c r="N66">
        <f t="shared" si="8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9"/>
        <v>0.13109999999999999</v>
      </c>
      <c r="J67">
        <v>0</v>
      </c>
      <c r="K67">
        <f t="shared" ref="K67:K130" si="10">E67/2000</f>
        <v>0.2185</v>
      </c>
      <c r="L67">
        <v>0</v>
      </c>
      <c r="M67">
        <f t="shared" si="6"/>
        <v>7.2105000000000002E-2</v>
      </c>
      <c r="N67">
        <f t="shared" si="8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9"/>
        <v>0.1305</v>
      </c>
      <c r="J68">
        <v>0</v>
      </c>
      <c r="K68">
        <f t="shared" si="10"/>
        <v>0.2175</v>
      </c>
      <c r="L68">
        <v>0</v>
      </c>
      <c r="M68">
        <f t="shared" si="6"/>
        <v>7.1775000000000005E-2</v>
      </c>
      <c r="N68">
        <f t="shared" si="8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9"/>
        <v>3.5999999999999997E-2</v>
      </c>
      <c r="J69">
        <v>0</v>
      </c>
      <c r="K69">
        <f t="shared" si="10"/>
        <v>0.06</v>
      </c>
      <c r="L69">
        <v>0</v>
      </c>
      <c r="M69">
        <f t="shared" si="6"/>
        <v>1.9800000000000002E-2</v>
      </c>
      <c r="N69">
        <f t="shared" si="8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9"/>
        <v>1.0799999999999999E-2</v>
      </c>
      <c r="J70">
        <v>0</v>
      </c>
      <c r="K70">
        <f t="shared" si="10"/>
        <v>1.7999999999999999E-2</v>
      </c>
      <c r="L70">
        <v>0</v>
      </c>
      <c r="M70">
        <f t="shared" si="6"/>
        <v>5.94E-3</v>
      </c>
      <c r="N70">
        <f t="shared" si="8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9"/>
        <v>6.8999999999999999E-3</v>
      </c>
      <c r="J71">
        <v>0</v>
      </c>
      <c r="K71">
        <f t="shared" si="10"/>
        <v>1.15E-2</v>
      </c>
      <c r="L71">
        <v>0</v>
      </c>
      <c r="M71">
        <f t="shared" si="6"/>
        <v>3.7950000000000002E-3</v>
      </c>
      <c r="N71">
        <f t="shared" si="8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9"/>
        <v>1.4999999999999999E-2</v>
      </c>
      <c r="J72">
        <v>0</v>
      </c>
      <c r="K72">
        <f t="shared" si="10"/>
        <v>2.5000000000000001E-2</v>
      </c>
      <c r="L72">
        <v>0</v>
      </c>
      <c r="M72">
        <f t="shared" si="6"/>
        <v>8.2500000000000004E-3</v>
      </c>
      <c r="N72">
        <f t="shared" si="8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9"/>
        <v>3.6600000000000001E-2</v>
      </c>
      <c r="J73">
        <v>0</v>
      </c>
      <c r="K73">
        <f t="shared" si="10"/>
        <v>6.0999999999999999E-2</v>
      </c>
      <c r="L73">
        <v>0</v>
      </c>
      <c r="M73">
        <f t="shared" si="6"/>
        <v>2.0130000000000002E-2</v>
      </c>
      <c r="N73">
        <f t="shared" si="8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9"/>
        <v>9.2999999999999992E-3</v>
      </c>
      <c r="J74">
        <v>0</v>
      </c>
      <c r="K74">
        <f t="shared" si="10"/>
        <v>1.55E-2</v>
      </c>
      <c r="L74">
        <v>0</v>
      </c>
      <c r="M74">
        <f t="shared" si="6"/>
        <v>5.1150000000000006E-3</v>
      </c>
      <c r="N74">
        <f t="shared" si="8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9"/>
        <v>1.4999999999999999E-2</v>
      </c>
      <c r="J75">
        <v>0</v>
      </c>
      <c r="K75">
        <f t="shared" si="10"/>
        <v>2.5000000000000001E-2</v>
      </c>
      <c r="L75">
        <v>0</v>
      </c>
      <c r="M75">
        <f t="shared" si="6"/>
        <v>8.2500000000000004E-3</v>
      </c>
      <c r="N75">
        <f t="shared" si="8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9"/>
        <v>1.0799999999999999E-2</v>
      </c>
      <c r="J76">
        <v>0</v>
      </c>
      <c r="K76">
        <f t="shared" si="10"/>
        <v>1.7999999999999999E-2</v>
      </c>
      <c r="L76">
        <v>0</v>
      </c>
      <c r="M76">
        <f t="shared" ref="M76:M139" si="11">0.33*E76/2000</f>
        <v>5.94E-3</v>
      </c>
      <c r="N76">
        <f t="shared" si="8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9"/>
        <v>1.95E-2</v>
      </c>
      <c r="J77">
        <v>0</v>
      </c>
      <c r="K77">
        <f t="shared" si="10"/>
        <v>3.2500000000000001E-2</v>
      </c>
      <c r="L77">
        <v>0</v>
      </c>
      <c r="M77">
        <f t="shared" si="11"/>
        <v>1.0725E-2</v>
      </c>
      <c r="N77">
        <f t="shared" si="8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9"/>
        <v>9.5999999999999992E-3</v>
      </c>
      <c r="J78">
        <v>0</v>
      </c>
      <c r="K78">
        <f t="shared" si="10"/>
        <v>1.6E-2</v>
      </c>
      <c r="L78">
        <v>0</v>
      </c>
      <c r="M78">
        <f t="shared" si="11"/>
        <v>5.28E-3</v>
      </c>
      <c r="N78">
        <f t="shared" ref="N78:N139" si="12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9"/>
        <v>4.4999999999999998E-2</v>
      </c>
      <c r="J79">
        <v>0</v>
      </c>
      <c r="K79">
        <f t="shared" si="10"/>
        <v>7.4999999999999997E-2</v>
      </c>
      <c r="L79">
        <v>0</v>
      </c>
      <c r="M79">
        <f t="shared" si="11"/>
        <v>2.4750000000000001E-2</v>
      </c>
      <c r="N79">
        <f t="shared" si="12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9"/>
        <v>1.7999999999999999E-2</v>
      </c>
      <c r="J80">
        <v>0</v>
      </c>
      <c r="K80">
        <f t="shared" si="10"/>
        <v>0.03</v>
      </c>
      <c r="L80">
        <v>0</v>
      </c>
      <c r="M80">
        <f t="shared" si="11"/>
        <v>9.9000000000000008E-3</v>
      </c>
      <c r="N80">
        <f t="shared" si="12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3">0.6*E81/2000</f>
        <v>9.5999999999999992E-3</v>
      </c>
      <c r="J81">
        <v>0</v>
      </c>
      <c r="K81">
        <f t="shared" si="10"/>
        <v>1.6E-2</v>
      </c>
      <c r="L81">
        <v>0</v>
      </c>
      <c r="M81">
        <f t="shared" si="11"/>
        <v>5.28E-3</v>
      </c>
      <c r="N81">
        <f t="shared" si="12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3"/>
        <v>1.4999999999999999E-2</v>
      </c>
      <c r="J82">
        <v>0</v>
      </c>
      <c r="K82">
        <f t="shared" si="10"/>
        <v>2.5000000000000001E-2</v>
      </c>
      <c r="L82" s="10">
        <v>0</v>
      </c>
      <c r="M82">
        <f t="shared" si="11"/>
        <v>8.2500000000000004E-3</v>
      </c>
      <c r="N82">
        <f t="shared" si="12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10"/>
        <v>0.3</v>
      </c>
      <c r="L83">
        <v>0</v>
      </c>
      <c r="M83">
        <f t="shared" si="11"/>
        <v>9.9000000000000005E-2</v>
      </c>
      <c r="N83">
        <f t="shared" si="12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4">0.35*K84</f>
        <v>2.2574999999999998E-2</v>
      </c>
      <c r="J84">
        <v>0</v>
      </c>
      <c r="K84">
        <f t="shared" si="10"/>
        <v>6.4500000000000002E-2</v>
      </c>
      <c r="L84">
        <v>0</v>
      </c>
      <c r="M84">
        <f t="shared" si="11"/>
        <v>2.1285000000000002E-2</v>
      </c>
      <c r="N84">
        <f t="shared" si="12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4"/>
        <v>2.0999999999999998E-2</v>
      </c>
      <c r="J85">
        <v>0</v>
      </c>
      <c r="K85">
        <f t="shared" si="10"/>
        <v>0.06</v>
      </c>
      <c r="L85">
        <v>0</v>
      </c>
      <c r="M85">
        <f t="shared" si="11"/>
        <v>1.9800000000000002E-2</v>
      </c>
      <c r="N85">
        <f t="shared" si="12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4"/>
        <v>1.89E-2</v>
      </c>
      <c r="J86">
        <v>0</v>
      </c>
      <c r="K86">
        <f t="shared" si="10"/>
        <v>5.3999999999999999E-2</v>
      </c>
      <c r="L86">
        <v>0</v>
      </c>
      <c r="M86">
        <f t="shared" si="11"/>
        <v>1.7819999999999999E-2</v>
      </c>
      <c r="N86">
        <f t="shared" si="12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4"/>
        <v>2.1349999999999997E-2</v>
      </c>
      <c r="J87">
        <v>0</v>
      </c>
      <c r="K87">
        <f t="shared" si="10"/>
        <v>6.0999999999999999E-2</v>
      </c>
      <c r="L87">
        <v>0</v>
      </c>
      <c r="M87">
        <f t="shared" si="11"/>
        <v>2.0130000000000002E-2</v>
      </c>
      <c r="N87">
        <f t="shared" si="12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4"/>
        <v>2.9925E-2</v>
      </c>
      <c r="J88">
        <v>0</v>
      </c>
      <c r="K88">
        <f t="shared" si="10"/>
        <v>8.5500000000000007E-2</v>
      </c>
      <c r="L88">
        <v>0</v>
      </c>
      <c r="M88">
        <f t="shared" si="11"/>
        <v>2.8215E-2</v>
      </c>
      <c r="N88">
        <f t="shared" si="12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4"/>
        <v>2.5199999999999997E-2</v>
      </c>
      <c r="J89">
        <v>0</v>
      </c>
      <c r="K89">
        <f t="shared" si="10"/>
        <v>7.1999999999999995E-2</v>
      </c>
      <c r="L89">
        <v>0</v>
      </c>
      <c r="M89">
        <f t="shared" si="11"/>
        <v>2.376E-2</v>
      </c>
      <c r="N89">
        <f t="shared" si="12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4"/>
        <v>4.9874999999999996E-2</v>
      </c>
      <c r="J90">
        <v>0</v>
      </c>
      <c r="K90">
        <f t="shared" si="10"/>
        <v>0.14249999999999999</v>
      </c>
      <c r="L90">
        <v>0</v>
      </c>
      <c r="M90">
        <f t="shared" si="11"/>
        <v>4.7025000000000004E-2</v>
      </c>
      <c r="N90">
        <f t="shared" si="12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4"/>
        <v>1.7849999999999998E-2</v>
      </c>
      <c r="J91">
        <v>0</v>
      </c>
      <c r="K91">
        <f t="shared" si="10"/>
        <v>5.0999999999999997E-2</v>
      </c>
      <c r="L91">
        <v>0</v>
      </c>
      <c r="M91">
        <f t="shared" si="11"/>
        <v>1.6830000000000001E-2</v>
      </c>
      <c r="N91">
        <f t="shared" si="12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4"/>
        <v>1.4437499999999999E-2</v>
      </c>
      <c r="J92">
        <v>0</v>
      </c>
      <c r="K92">
        <f t="shared" si="10"/>
        <v>4.1250000000000002E-2</v>
      </c>
      <c r="L92">
        <v>0</v>
      </c>
      <c r="M92">
        <f t="shared" si="11"/>
        <v>1.3612500000000001E-2</v>
      </c>
      <c r="N92">
        <f t="shared" si="12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4"/>
        <v>1.09725E-2</v>
      </c>
      <c r="J93">
        <v>0</v>
      </c>
      <c r="K93">
        <f t="shared" si="10"/>
        <v>3.1350000000000003E-2</v>
      </c>
      <c r="L93">
        <v>0</v>
      </c>
      <c r="M93">
        <f t="shared" si="11"/>
        <v>1.0345500000000001E-2</v>
      </c>
      <c r="N93">
        <f t="shared" si="12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4"/>
        <v>8.8199999999999997E-3</v>
      </c>
      <c r="J94">
        <v>0</v>
      </c>
      <c r="K94">
        <f t="shared" si="10"/>
        <v>2.52E-2</v>
      </c>
      <c r="L94">
        <v>0</v>
      </c>
      <c r="M94">
        <f t="shared" si="11"/>
        <v>8.3160000000000005E-3</v>
      </c>
      <c r="N94">
        <f t="shared" si="12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4"/>
        <v>5.5299999999999995E-2</v>
      </c>
      <c r="J95">
        <v>0</v>
      </c>
      <c r="K95">
        <f t="shared" si="10"/>
        <v>0.158</v>
      </c>
      <c r="L95">
        <v>0</v>
      </c>
      <c r="M95">
        <f t="shared" si="11"/>
        <v>5.2139999999999999E-2</v>
      </c>
      <c r="N95">
        <f t="shared" si="12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4"/>
        <v>1.47E-2</v>
      </c>
      <c r="J96">
        <v>0</v>
      </c>
      <c r="K96">
        <f t="shared" si="10"/>
        <v>4.2000000000000003E-2</v>
      </c>
      <c r="L96">
        <v>0</v>
      </c>
      <c r="M96">
        <f t="shared" si="11"/>
        <v>1.3860000000000001E-2</v>
      </c>
      <c r="N96">
        <f t="shared" si="12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4"/>
        <v>1.1025E-2</v>
      </c>
      <c r="J97">
        <v>0</v>
      </c>
      <c r="K97">
        <f t="shared" si="10"/>
        <v>3.15E-2</v>
      </c>
      <c r="L97">
        <v>0</v>
      </c>
      <c r="M97">
        <f t="shared" si="11"/>
        <v>1.0395000000000001E-2</v>
      </c>
      <c r="N97">
        <f t="shared" si="12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4"/>
        <v>0.13685</v>
      </c>
      <c r="J98">
        <v>0</v>
      </c>
      <c r="K98">
        <f t="shared" si="10"/>
        <v>0.39100000000000001</v>
      </c>
      <c r="L98">
        <v>0</v>
      </c>
      <c r="M98">
        <f t="shared" si="11"/>
        <v>0.12903000000000001</v>
      </c>
      <c r="N98">
        <f t="shared" si="12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4"/>
        <v>0.14402499999999999</v>
      </c>
      <c r="J99">
        <v>0</v>
      </c>
      <c r="K99">
        <f t="shared" si="10"/>
        <v>0.41149999999999998</v>
      </c>
      <c r="L99">
        <v>0</v>
      </c>
      <c r="M99">
        <f t="shared" si="11"/>
        <v>0.13579500000000003</v>
      </c>
      <c r="N99">
        <f t="shared" si="12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4"/>
        <v>0.117075</v>
      </c>
      <c r="J100">
        <v>0</v>
      </c>
      <c r="K100">
        <f t="shared" si="10"/>
        <v>0.33450000000000002</v>
      </c>
      <c r="L100">
        <v>0</v>
      </c>
      <c r="M100">
        <f t="shared" si="11"/>
        <v>0.11038500000000001</v>
      </c>
      <c r="N100">
        <f t="shared" si="12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4"/>
        <v>0.41475000000000001</v>
      </c>
      <c r="J101">
        <v>0</v>
      </c>
      <c r="K101">
        <f t="shared" si="10"/>
        <v>1.1850000000000001</v>
      </c>
      <c r="L101">
        <v>0</v>
      </c>
      <c r="M101">
        <f t="shared" si="11"/>
        <v>0.39105000000000001</v>
      </c>
      <c r="N101">
        <f t="shared" si="12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4"/>
        <v>4.7425000000000002E-2</v>
      </c>
      <c r="J102">
        <v>0</v>
      </c>
      <c r="K102">
        <f t="shared" si="10"/>
        <v>0.13550000000000001</v>
      </c>
      <c r="L102">
        <v>0</v>
      </c>
      <c r="M102">
        <f t="shared" si="11"/>
        <v>4.4715000000000005E-2</v>
      </c>
      <c r="N102">
        <f t="shared" si="12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4"/>
        <v>0.17587499999999998</v>
      </c>
      <c r="J103">
        <v>0</v>
      </c>
      <c r="K103">
        <f t="shared" si="10"/>
        <v>0.50249999999999995</v>
      </c>
      <c r="L103">
        <v>0</v>
      </c>
      <c r="M103">
        <f t="shared" si="11"/>
        <v>0.16582500000000003</v>
      </c>
      <c r="N103">
        <f t="shared" si="12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4"/>
        <v>0.118475</v>
      </c>
      <c r="J104">
        <v>0</v>
      </c>
      <c r="K104">
        <f t="shared" si="10"/>
        <v>0.33850000000000002</v>
      </c>
      <c r="L104">
        <v>0</v>
      </c>
      <c r="M104">
        <f t="shared" si="11"/>
        <v>0.111705</v>
      </c>
      <c r="N104">
        <f t="shared" si="12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4"/>
        <v>5.1974999999999993E-2</v>
      </c>
      <c r="J105">
        <v>0</v>
      </c>
      <c r="K105">
        <f t="shared" si="10"/>
        <v>0.14849999999999999</v>
      </c>
      <c r="L105">
        <v>0</v>
      </c>
      <c r="M105">
        <f t="shared" si="11"/>
        <v>4.9005E-2</v>
      </c>
      <c r="N105">
        <f t="shared" si="12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4"/>
        <v>1.6624999999999997E-2</v>
      </c>
      <c r="J106">
        <v>0</v>
      </c>
      <c r="K106">
        <f t="shared" si="10"/>
        <v>4.7500000000000001E-2</v>
      </c>
      <c r="L106">
        <v>0</v>
      </c>
      <c r="M106">
        <f t="shared" si="11"/>
        <v>1.5675000000000001E-2</v>
      </c>
      <c r="N106">
        <f t="shared" si="12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4"/>
        <v>2.3975E-2</v>
      </c>
      <c r="J107">
        <v>0</v>
      </c>
      <c r="K107">
        <f t="shared" si="10"/>
        <v>6.8500000000000005E-2</v>
      </c>
      <c r="L107">
        <v>0</v>
      </c>
      <c r="M107">
        <f t="shared" si="11"/>
        <v>2.2605E-2</v>
      </c>
      <c r="N107">
        <f t="shared" si="12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4"/>
        <v>8.1375000000000003E-2</v>
      </c>
      <c r="J108">
        <v>0</v>
      </c>
      <c r="K108">
        <f t="shared" si="10"/>
        <v>0.23250000000000001</v>
      </c>
      <c r="L108">
        <v>0</v>
      </c>
      <c r="M108">
        <f t="shared" si="11"/>
        <v>7.6725000000000015E-2</v>
      </c>
      <c r="N108">
        <f t="shared" si="12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4"/>
        <v>6.474999999999999E-3</v>
      </c>
      <c r="J109">
        <v>0</v>
      </c>
      <c r="K109">
        <f t="shared" si="10"/>
        <v>1.8499999999999999E-2</v>
      </c>
      <c r="L109">
        <v>0</v>
      </c>
      <c r="M109">
        <f t="shared" si="11"/>
        <v>6.1050000000000002E-3</v>
      </c>
      <c r="N109">
        <f t="shared" si="12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10"/>
        <v>5.5E-2</v>
      </c>
      <c r="L110">
        <v>0</v>
      </c>
      <c r="M110">
        <f t="shared" si="11"/>
        <v>1.8150000000000003E-2</v>
      </c>
      <c r="N110">
        <f t="shared" si="12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5">0.1*K111</f>
        <v>5.1000000000000004E-3</v>
      </c>
      <c r="J111">
        <v>0</v>
      </c>
      <c r="K111">
        <f t="shared" si="10"/>
        <v>5.0999999999999997E-2</v>
      </c>
      <c r="L111">
        <v>0</v>
      </c>
      <c r="M111">
        <f t="shared" si="11"/>
        <v>1.6830000000000001E-2</v>
      </c>
      <c r="N111">
        <f t="shared" si="12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5"/>
        <v>3.2000000000000002E-3</v>
      </c>
      <c r="J112">
        <v>0</v>
      </c>
      <c r="K112">
        <f t="shared" si="10"/>
        <v>3.2000000000000001E-2</v>
      </c>
      <c r="L112">
        <v>0</v>
      </c>
      <c r="M112">
        <f t="shared" si="11"/>
        <v>1.056E-2</v>
      </c>
      <c r="N112">
        <f t="shared" si="12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5"/>
        <v>2.725E-3</v>
      </c>
      <c r="J113">
        <v>0</v>
      </c>
      <c r="K113">
        <f t="shared" si="10"/>
        <v>2.725E-2</v>
      </c>
      <c r="L113">
        <v>0</v>
      </c>
      <c r="M113">
        <f>0.33*E113/2000</f>
        <v>8.9925000000000005E-3</v>
      </c>
      <c r="N113">
        <f t="shared" si="12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5"/>
        <v>0.36099999999999999</v>
      </c>
      <c r="J114">
        <v>0</v>
      </c>
      <c r="K114">
        <f t="shared" si="10"/>
        <v>3.61</v>
      </c>
      <c r="L114">
        <v>0</v>
      </c>
      <c r="M114">
        <f t="shared" si="11"/>
        <v>1.1913</v>
      </c>
      <c r="N114">
        <f t="shared" si="12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5"/>
        <v>0.46445000000000003</v>
      </c>
      <c r="J115">
        <v>0</v>
      </c>
      <c r="K115">
        <f t="shared" si="10"/>
        <v>4.6444999999999999</v>
      </c>
      <c r="L115">
        <v>0</v>
      </c>
      <c r="M115">
        <f t="shared" si="11"/>
        <v>1.5326850000000001</v>
      </c>
      <c r="N115">
        <f t="shared" si="12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5"/>
        <v>0.15329999999999999</v>
      </c>
      <c r="J116">
        <v>0</v>
      </c>
      <c r="K116">
        <f t="shared" si="10"/>
        <v>1.5329999999999999</v>
      </c>
      <c r="L116">
        <v>0</v>
      </c>
      <c r="M116">
        <f t="shared" si="11"/>
        <v>0.50589000000000006</v>
      </c>
      <c r="N116">
        <f t="shared" si="12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5"/>
        <v>0.17660000000000001</v>
      </c>
      <c r="J117">
        <v>0</v>
      </c>
      <c r="K117">
        <f t="shared" si="10"/>
        <v>1.766</v>
      </c>
      <c r="L117">
        <v>0</v>
      </c>
      <c r="M117">
        <f t="shared" si="11"/>
        <v>0.58277999999999996</v>
      </c>
      <c r="N117">
        <f t="shared" si="12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5"/>
        <v>0.52739999999999998</v>
      </c>
      <c r="J118">
        <v>0</v>
      </c>
      <c r="K118">
        <f t="shared" si="10"/>
        <v>5.274</v>
      </c>
      <c r="L118">
        <v>0</v>
      </c>
      <c r="M118">
        <f t="shared" si="11"/>
        <v>1.7404200000000001</v>
      </c>
      <c r="N118">
        <f t="shared" si="12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5"/>
        <v>0.25714999999999999</v>
      </c>
      <c r="J119">
        <v>0</v>
      </c>
      <c r="K119">
        <f t="shared" si="10"/>
        <v>2.5714999999999999</v>
      </c>
      <c r="L119">
        <v>0</v>
      </c>
      <c r="M119">
        <f t="shared" si="11"/>
        <v>0.84859499999999999</v>
      </c>
      <c r="N119">
        <f t="shared" si="12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5"/>
        <v>0.19595000000000001</v>
      </c>
      <c r="J120">
        <v>0</v>
      </c>
      <c r="K120">
        <f t="shared" si="10"/>
        <v>1.9595</v>
      </c>
      <c r="L120">
        <v>0</v>
      </c>
      <c r="M120">
        <f t="shared" si="11"/>
        <v>0.64663499999999996</v>
      </c>
      <c r="N120">
        <f t="shared" si="12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5"/>
        <v>0.25445000000000001</v>
      </c>
      <c r="J121">
        <v>0</v>
      </c>
      <c r="K121">
        <f t="shared" si="10"/>
        <v>2.5445000000000002</v>
      </c>
      <c r="L121">
        <v>0</v>
      </c>
      <c r="M121">
        <f t="shared" si="11"/>
        <v>0.83968500000000001</v>
      </c>
      <c r="N121">
        <f t="shared" si="12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5"/>
        <v>0.31505000000000005</v>
      </c>
      <c r="J122">
        <v>0</v>
      </c>
      <c r="K122">
        <f t="shared" si="10"/>
        <v>3.1505000000000001</v>
      </c>
      <c r="L122">
        <v>0</v>
      </c>
      <c r="M122">
        <f t="shared" si="11"/>
        <v>1.0396650000000001</v>
      </c>
      <c r="N122">
        <f t="shared" si="12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5"/>
        <v>0.29694999999999999</v>
      </c>
      <c r="J123">
        <v>0</v>
      </c>
      <c r="K123">
        <f t="shared" si="10"/>
        <v>2.9695</v>
      </c>
      <c r="L123">
        <v>0</v>
      </c>
      <c r="M123">
        <f t="shared" si="11"/>
        <v>0.97993500000000011</v>
      </c>
      <c r="N123">
        <f t="shared" si="12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5"/>
        <v>0.65195000000000003</v>
      </c>
      <c r="J124">
        <v>0</v>
      </c>
      <c r="K124">
        <f t="shared" si="10"/>
        <v>6.5194999999999999</v>
      </c>
      <c r="L124">
        <v>0</v>
      </c>
      <c r="M124">
        <f t="shared" si="11"/>
        <v>2.1514349999999998</v>
      </c>
      <c r="N124">
        <f t="shared" si="12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5"/>
        <v>0.21299999999999999</v>
      </c>
      <c r="J125">
        <v>0</v>
      </c>
      <c r="K125">
        <f t="shared" si="10"/>
        <v>2.13</v>
      </c>
      <c r="L125">
        <v>0</v>
      </c>
      <c r="M125">
        <f t="shared" si="11"/>
        <v>0.70289999999999997</v>
      </c>
      <c r="N125">
        <f t="shared" si="12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>E126/2000</f>
        <v>0.38</v>
      </c>
      <c r="L126">
        <v>0</v>
      </c>
      <c r="M126">
        <f t="shared" si="11"/>
        <v>0.12540000000000001</v>
      </c>
      <c r="N126">
        <f t="shared" si="12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10"/>
        <v>0.38</v>
      </c>
      <c r="L127">
        <v>0</v>
      </c>
      <c r="M127">
        <f t="shared" si="11"/>
        <v>0.12540000000000001</v>
      </c>
      <c r="N127">
        <f t="shared" si="12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6">0.35*K128</f>
        <v>0.132825</v>
      </c>
      <c r="J128">
        <v>0</v>
      </c>
      <c r="K128">
        <f t="shared" si="10"/>
        <v>0.3795</v>
      </c>
      <c r="L128">
        <v>0</v>
      </c>
      <c r="M128">
        <f t="shared" si="11"/>
        <v>0.12523500000000001</v>
      </c>
      <c r="N128">
        <f t="shared" si="12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>0.35*K129</f>
        <v>0.1323</v>
      </c>
      <c r="J129">
        <v>0</v>
      </c>
      <c r="K129">
        <f>E129/2000</f>
        <v>0.378</v>
      </c>
      <c r="L129">
        <v>0</v>
      </c>
      <c r="M129">
        <f t="shared" si="11"/>
        <v>0.12474</v>
      </c>
      <c r="N129">
        <f t="shared" si="12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6"/>
        <v>0.12249999999999998</v>
      </c>
      <c r="J130">
        <v>0</v>
      </c>
      <c r="K130">
        <f t="shared" si="10"/>
        <v>0.35</v>
      </c>
      <c r="L130">
        <v>0</v>
      </c>
      <c r="M130">
        <f t="shared" si="11"/>
        <v>0.11550000000000001</v>
      </c>
      <c r="N130">
        <f t="shared" si="12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6"/>
        <v>0.10149999999999999</v>
      </c>
      <c r="J131">
        <v>0</v>
      </c>
      <c r="K131">
        <f t="shared" ref="K131:K171" si="17">E131/2000</f>
        <v>0.28999999999999998</v>
      </c>
      <c r="L131">
        <v>0</v>
      </c>
      <c r="M131">
        <f t="shared" si="11"/>
        <v>9.5700000000000007E-2</v>
      </c>
      <c r="N131">
        <f t="shared" si="12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6"/>
        <v>0.13159999999999999</v>
      </c>
      <c r="J132">
        <v>0</v>
      </c>
      <c r="K132">
        <f t="shared" si="17"/>
        <v>0.376</v>
      </c>
      <c r="L132">
        <v>0</v>
      </c>
      <c r="M132">
        <f t="shared" si="11"/>
        <v>0.12408000000000001</v>
      </c>
      <c r="N132">
        <f t="shared" si="12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6"/>
        <v>0.1280125</v>
      </c>
      <c r="J133">
        <v>0</v>
      </c>
      <c r="K133">
        <f t="shared" si="17"/>
        <v>0.36575000000000002</v>
      </c>
      <c r="L133">
        <v>0</v>
      </c>
      <c r="M133">
        <f t="shared" si="11"/>
        <v>0.1206975</v>
      </c>
      <c r="N133">
        <f t="shared" si="12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6"/>
        <v>3.3249999999999998E-3</v>
      </c>
      <c r="J134">
        <v>0</v>
      </c>
      <c r="K134">
        <f t="shared" si="17"/>
        <v>9.4999999999999998E-3</v>
      </c>
      <c r="L134">
        <v>0</v>
      </c>
      <c r="M134">
        <f t="shared" si="11"/>
        <v>3.1350000000000002E-3</v>
      </c>
      <c r="N134">
        <f t="shared" si="12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7"/>
        <v>1</v>
      </c>
      <c r="L135">
        <v>0</v>
      </c>
      <c r="M135">
        <f t="shared" si="11"/>
        <v>0.33</v>
      </c>
      <c r="N135">
        <f t="shared" si="12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8">0.35*K136*0.9</f>
        <v>0.315</v>
      </c>
      <c r="J136">
        <v>0</v>
      </c>
      <c r="K136">
        <f t="shared" si="17"/>
        <v>1</v>
      </c>
      <c r="L136">
        <v>0</v>
      </c>
      <c r="M136">
        <f t="shared" si="11"/>
        <v>0.33</v>
      </c>
      <c r="N136">
        <f t="shared" si="12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8"/>
        <v>0.315</v>
      </c>
      <c r="J137">
        <v>0</v>
      </c>
      <c r="K137">
        <f t="shared" si="17"/>
        <v>1</v>
      </c>
      <c r="L137">
        <v>0</v>
      </c>
      <c r="M137">
        <f t="shared" si="11"/>
        <v>0.33</v>
      </c>
      <c r="N137">
        <f t="shared" si="12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8"/>
        <v>0.47249999999999992</v>
      </c>
      <c r="J138">
        <v>0</v>
      </c>
      <c r="K138">
        <f t="shared" si="17"/>
        <v>1.5</v>
      </c>
      <c r="L138">
        <v>0</v>
      </c>
      <c r="M138">
        <f t="shared" si="11"/>
        <v>0.495</v>
      </c>
      <c r="N138">
        <f t="shared" si="12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8"/>
        <v>0.47249999999999992</v>
      </c>
      <c r="J139">
        <v>0</v>
      </c>
      <c r="K139">
        <f t="shared" si="17"/>
        <v>1.5</v>
      </c>
      <c r="L139">
        <v>0</v>
      </c>
      <c r="M139">
        <f t="shared" si="11"/>
        <v>0.495</v>
      </c>
      <c r="N139">
        <f t="shared" si="12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8"/>
        <v>0.63</v>
      </c>
      <c r="J140">
        <v>0</v>
      </c>
      <c r="K140">
        <f t="shared" si="17"/>
        <v>2</v>
      </c>
      <c r="L140">
        <v>0</v>
      </c>
      <c r="M140">
        <f t="shared" ref="M140:M171" si="19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6"/>
        <v>1.3999999999999999E-2</v>
      </c>
      <c r="J141">
        <v>0</v>
      </c>
      <c r="K141">
        <f t="shared" si="17"/>
        <v>0.04</v>
      </c>
      <c r="L141">
        <v>0</v>
      </c>
      <c r="M141">
        <f t="shared" si="19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6"/>
        <v>1.0499999999999999E-2</v>
      </c>
      <c r="J142">
        <v>0</v>
      </c>
      <c r="K142">
        <f t="shared" si="17"/>
        <v>0.03</v>
      </c>
      <c r="L142">
        <v>0</v>
      </c>
      <c r="M142">
        <f t="shared" si="19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6"/>
        <v>8.7499999999999991E-3</v>
      </c>
      <c r="J143">
        <v>0</v>
      </c>
      <c r="K143">
        <f t="shared" si="17"/>
        <v>2.5000000000000001E-2</v>
      </c>
      <c r="L143">
        <v>0</v>
      </c>
      <c r="M143">
        <f t="shared" si="19"/>
        <v>8.2500000000000004E-3</v>
      </c>
      <c r="N143">
        <f t="shared" ref="N143:N171" si="20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7"/>
        <v>4.4499999999999998E-2</v>
      </c>
      <c r="L144">
        <v>0</v>
      </c>
      <c r="M144">
        <f t="shared" si="19"/>
        <v>1.4685E-2</v>
      </c>
      <c r="N144">
        <f t="shared" si="20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1">0.1*K145</f>
        <v>2.7500000000000003E-3</v>
      </c>
      <c r="J145">
        <v>0</v>
      </c>
      <c r="K145">
        <f t="shared" si="17"/>
        <v>2.75E-2</v>
      </c>
      <c r="L145">
        <v>0</v>
      </c>
      <c r="M145">
        <f t="shared" si="19"/>
        <v>9.0750000000000015E-3</v>
      </c>
      <c r="N145">
        <f t="shared" si="20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1"/>
        <v>7.4000000000000003E-3</v>
      </c>
      <c r="J146">
        <v>0</v>
      </c>
      <c r="K146">
        <f t="shared" si="17"/>
        <v>7.3999999999999996E-2</v>
      </c>
      <c r="L146">
        <v>0</v>
      </c>
      <c r="M146">
        <f t="shared" si="19"/>
        <v>2.4420000000000001E-2</v>
      </c>
      <c r="N146">
        <f t="shared" si="20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1"/>
        <v>2.5000000000000005E-3</v>
      </c>
      <c r="J147">
        <v>0</v>
      </c>
      <c r="K147">
        <f t="shared" si="17"/>
        <v>2.5000000000000001E-2</v>
      </c>
      <c r="L147">
        <v>0</v>
      </c>
      <c r="M147">
        <f t="shared" si="19"/>
        <v>8.2500000000000004E-3</v>
      </c>
      <c r="N147">
        <f t="shared" si="20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1"/>
        <v>4.0000000000000001E-3</v>
      </c>
      <c r="J148">
        <v>0</v>
      </c>
      <c r="K148">
        <f t="shared" si="17"/>
        <v>0.04</v>
      </c>
      <c r="L148">
        <v>0</v>
      </c>
      <c r="M148">
        <f t="shared" si="19"/>
        <v>1.3200000000000002E-2</v>
      </c>
      <c r="N148">
        <f t="shared" si="20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1"/>
        <v>3.0500000000000002E-3</v>
      </c>
      <c r="J149">
        <v>0</v>
      </c>
      <c r="K149">
        <f t="shared" si="17"/>
        <v>3.0499999999999999E-2</v>
      </c>
      <c r="L149">
        <v>0</v>
      </c>
      <c r="M149">
        <f t="shared" si="19"/>
        <v>1.0065000000000001E-2</v>
      </c>
      <c r="N149">
        <f t="shared" si="20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7"/>
        <v>3.6999999999999998E-2</v>
      </c>
      <c r="L150">
        <v>0</v>
      </c>
      <c r="M150">
        <f t="shared" si="19"/>
        <v>1.221E-2</v>
      </c>
      <c r="N150">
        <f t="shared" si="20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1"/>
        <v>2.7500000000000003E-3</v>
      </c>
      <c r="J151">
        <v>0</v>
      </c>
      <c r="K151">
        <f t="shared" si="17"/>
        <v>2.75E-2</v>
      </c>
      <c r="L151">
        <v>0</v>
      </c>
      <c r="M151">
        <f t="shared" si="19"/>
        <v>9.0750000000000015E-3</v>
      </c>
      <c r="N151">
        <f t="shared" si="20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1"/>
        <v>2.7500000000000003E-3</v>
      </c>
      <c r="J152">
        <v>0</v>
      </c>
      <c r="K152">
        <f t="shared" si="17"/>
        <v>2.75E-2</v>
      </c>
      <c r="L152">
        <v>0</v>
      </c>
      <c r="M152">
        <f t="shared" si="19"/>
        <v>9.0750000000000015E-3</v>
      </c>
      <c r="N152">
        <f t="shared" si="20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1"/>
        <v>3.7499999999999999E-3</v>
      </c>
      <c r="J153">
        <v>0</v>
      </c>
      <c r="K153">
        <f t="shared" si="17"/>
        <v>3.7499999999999999E-2</v>
      </c>
      <c r="L153">
        <v>0</v>
      </c>
      <c r="M153">
        <f t="shared" si="19"/>
        <v>1.2375000000000001E-2</v>
      </c>
      <c r="N153">
        <f t="shared" si="20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1"/>
        <v>2.7000000000000001E-3</v>
      </c>
      <c r="J154">
        <v>0</v>
      </c>
      <c r="K154">
        <f t="shared" si="17"/>
        <v>2.7E-2</v>
      </c>
      <c r="L154">
        <v>0</v>
      </c>
      <c r="M154">
        <f t="shared" si="19"/>
        <v>8.9099999999999995E-3</v>
      </c>
      <c r="N154">
        <f t="shared" si="20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1"/>
        <v>3.2500000000000003E-3</v>
      </c>
      <c r="J155">
        <v>0</v>
      </c>
      <c r="K155">
        <f t="shared" si="17"/>
        <v>3.2500000000000001E-2</v>
      </c>
      <c r="L155">
        <v>0</v>
      </c>
      <c r="M155">
        <f t="shared" si="19"/>
        <v>1.0725E-2</v>
      </c>
      <c r="N155">
        <f t="shared" si="20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1"/>
        <v>3.1000000000000003E-3</v>
      </c>
      <c r="J156">
        <v>0</v>
      </c>
      <c r="K156">
        <f t="shared" si="17"/>
        <v>3.1E-2</v>
      </c>
      <c r="L156">
        <v>0</v>
      </c>
      <c r="M156">
        <f t="shared" si="19"/>
        <v>1.0230000000000001E-2</v>
      </c>
      <c r="N156">
        <f t="shared" si="20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1"/>
        <v>4.7000000000000002E-3</v>
      </c>
      <c r="J157">
        <v>0</v>
      </c>
      <c r="K157">
        <f t="shared" si="17"/>
        <v>4.7E-2</v>
      </c>
      <c r="L157">
        <v>0</v>
      </c>
      <c r="M157">
        <f t="shared" si="19"/>
        <v>1.5510000000000001E-2</v>
      </c>
      <c r="N157">
        <f t="shared" si="20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1"/>
        <v>4.8000000000000004E-3</v>
      </c>
      <c r="J158">
        <v>0</v>
      </c>
      <c r="K158">
        <f t="shared" si="17"/>
        <v>4.8000000000000001E-2</v>
      </c>
      <c r="L158">
        <v>0</v>
      </c>
      <c r="M158">
        <f t="shared" si="19"/>
        <v>1.584E-2</v>
      </c>
      <c r="N158">
        <f t="shared" si="20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1"/>
        <v>4.3E-3</v>
      </c>
      <c r="J159">
        <v>0</v>
      </c>
      <c r="K159">
        <f t="shared" si="17"/>
        <v>4.2999999999999997E-2</v>
      </c>
      <c r="L159">
        <v>0</v>
      </c>
      <c r="M159">
        <f t="shared" si="19"/>
        <v>1.4190000000000001E-2</v>
      </c>
      <c r="N159">
        <f t="shared" si="20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1"/>
        <v>6.6000000000000008E-3</v>
      </c>
      <c r="J160">
        <v>0</v>
      </c>
      <c r="K160">
        <f t="shared" si="17"/>
        <v>6.6000000000000003E-2</v>
      </c>
      <c r="L160">
        <v>0</v>
      </c>
      <c r="M160">
        <f t="shared" si="19"/>
        <v>2.1780000000000001E-2</v>
      </c>
      <c r="N160">
        <f t="shared" si="20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1"/>
        <v>3.2500000000000003E-3</v>
      </c>
      <c r="J161">
        <v>0</v>
      </c>
      <c r="K161">
        <f t="shared" si="17"/>
        <v>3.2500000000000001E-2</v>
      </c>
      <c r="L161">
        <v>0</v>
      </c>
      <c r="M161">
        <f t="shared" si="19"/>
        <v>1.0725E-2</v>
      </c>
      <c r="N161">
        <f t="shared" si="20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1"/>
        <v>5.8000000000000005E-3</v>
      </c>
      <c r="J162">
        <v>0</v>
      </c>
      <c r="K162">
        <f t="shared" si="17"/>
        <v>5.8000000000000003E-2</v>
      </c>
      <c r="L162">
        <v>0</v>
      </c>
      <c r="M162">
        <f t="shared" si="19"/>
        <v>1.9140000000000001E-2</v>
      </c>
      <c r="N162">
        <f t="shared" si="20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1"/>
        <v>3.15E-3</v>
      </c>
      <c r="J163">
        <v>0</v>
      </c>
      <c r="K163">
        <f t="shared" si="17"/>
        <v>3.15E-2</v>
      </c>
      <c r="L163">
        <v>0</v>
      </c>
      <c r="M163">
        <f t="shared" si="19"/>
        <v>1.0395000000000001E-2</v>
      </c>
      <c r="N163">
        <f t="shared" si="20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1"/>
        <v>2.9000000000000002E-3</v>
      </c>
      <c r="J164">
        <v>0</v>
      </c>
      <c r="K164">
        <f t="shared" si="17"/>
        <v>2.9000000000000001E-2</v>
      </c>
      <c r="L164">
        <v>0</v>
      </c>
      <c r="M164">
        <f t="shared" si="19"/>
        <v>9.5700000000000004E-3</v>
      </c>
      <c r="N164">
        <f t="shared" si="20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1"/>
        <v>5.7500000000000008E-3</v>
      </c>
      <c r="J165">
        <v>0</v>
      </c>
      <c r="K165">
        <f t="shared" si="17"/>
        <v>5.7500000000000002E-2</v>
      </c>
      <c r="L165">
        <v>0</v>
      </c>
      <c r="M165">
        <f t="shared" si="19"/>
        <v>1.8975000000000002E-2</v>
      </c>
      <c r="N165">
        <f t="shared" si="20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1"/>
        <v>5.4000000000000003E-3</v>
      </c>
      <c r="J166">
        <v>0</v>
      </c>
      <c r="K166">
        <f t="shared" si="17"/>
        <v>5.3999999999999999E-2</v>
      </c>
      <c r="L166">
        <v>0</v>
      </c>
      <c r="M166">
        <f t="shared" si="19"/>
        <v>1.7819999999999999E-2</v>
      </c>
      <c r="N166">
        <f t="shared" si="20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1"/>
        <v>2.65E-3</v>
      </c>
      <c r="J167">
        <v>0</v>
      </c>
      <c r="K167">
        <f t="shared" si="17"/>
        <v>2.6499999999999999E-2</v>
      </c>
      <c r="L167">
        <v>0</v>
      </c>
      <c r="M167">
        <f t="shared" si="19"/>
        <v>8.745000000000001E-3</v>
      </c>
      <c r="N167">
        <f t="shared" si="20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1"/>
        <v>2.9000000000000002E-3</v>
      </c>
      <c r="J168">
        <v>0</v>
      </c>
      <c r="K168">
        <f t="shared" si="17"/>
        <v>2.9000000000000001E-2</v>
      </c>
      <c r="L168">
        <v>0</v>
      </c>
      <c r="M168">
        <f t="shared" si="19"/>
        <v>9.5700000000000004E-3</v>
      </c>
      <c r="N168">
        <f t="shared" si="20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1"/>
        <v>3.1000000000000003E-3</v>
      </c>
      <c r="J169">
        <v>0</v>
      </c>
      <c r="K169">
        <f t="shared" si="17"/>
        <v>3.1E-2</v>
      </c>
      <c r="L169">
        <v>0</v>
      </c>
      <c r="M169">
        <f t="shared" si="19"/>
        <v>1.0230000000000001E-2</v>
      </c>
      <c r="N169">
        <f t="shared" si="20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1"/>
        <v>6.8000000000000005E-3</v>
      </c>
      <c r="J170">
        <v>0</v>
      </c>
      <c r="K170">
        <f t="shared" si="17"/>
        <v>6.8000000000000005E-2</v>
      </c>
      <c r="L170">
        <v>0</v>
      </c>
      <c r="M170">
        <f t="shared" si="19"/>
        <v>2.2440000000000002E-2</v>
      </c>
      <c r="N170">
        <f t="shared" si="20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1"/>
        <v>2.9499999999999999E-3</v>
      </c>
      <c r="J171" s="10">
        <v>0</v>
      </c>
      <c r="K171">
        <f t="shared" si="17"/>
        <v>2.9499999999999998E-2</v>
      </c>
      <c r="L171" s="10">
        <v>0</v>
      </c>
      <c r="M171">
        <f t="shared" si="19"/>
        <v>9.7350000000000006E-3</v>
      </c>
      <c r="N171">
        <f t="shared" si="20"/>
        <v>-9.7350000000000006E-3</v>
      </c>
      <c r="O171" s="5">
        <v>0.57894736842105265</v>
      </c>
      <c r="P171" s="5">
        <v>0.81052631578947365</v>
      </c>
      <c r="Q171" s="5">
        <v>0.3473684210526316</v>
      </c>
    </row>
    <row r="172" spans="1:17" x14ac:dyDescent="0.25">
      <c r="I172" s="2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1972</v>
      </c>
      <c r="F2">
        <v>380</v>
      </c>
      <c r="G2">
        <v>40</v>
      </c>
      <c r="I2" s="32">
        <v>0.05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0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2" activePane="bottomLeft" state="frozen"/>
      <selection pane="bottomLeft" activeCell="M88" sqref="M88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1972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1972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986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986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1128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1128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700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700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 s="24">
        <v>1972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topLeftCell="A16"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topLeftCell="A61"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topLeftCell="A65"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P90"/>
  <sheetViews>
    <sheetView tabSelected="1" topLeftCell="Y1" zoomScale="103" workbookViewId="0">
      <pane ySplit="1" topLeftCell="A2" activePane="bottomLeft" state="frozen"/>
      <selection activeCell="G1" sqref="G1"/>
      <selection pane="bottomLeft" activeCell="AK9" sqref="AK9"/>
    </sheetView>
  </sheetViews>
  <sheetFormatPr defaultRowHeight="15" x14ac:dyDescent="0.25"/>
  <cols>
    <col min="35" max="35" width="11" bestFit="1" customWidth="1"/>
    <col min="38" max="38" width="14.85546875" bestFit="1" customWidth="1"/>
  </cols>
  <sheetData>
    <row r="1" spans="1:42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1016</v>
      </c>
      <c r="AH1" s="40" t="s">
        <v>1017</v>
      </c>
      <c r="AI1" s="40" t="s">
        <v>1018</v>
      </c>
      <c r="AJ1" s="40" t="s">
        <v>1019</v>
      </c>
      <c r="AK1" s="40" t="s">
        <v>1020</v>
      </c>
      <c r="AL1" s="40" t="s">
        <v>1021</v>
      </c>
      <c r="AM1" s="40" t="s">
        <v>26</v>
      </c>
      <c r="AN1" s="40" t="s">
        <v>1022</v>
      </c>
      <c r="AO1" s="1" t="s">
        <v>411</v>
      </c>
      <c r="AP1" s="1" t="s">
        <v>412</v>
      </c>
    </row>
    <row r="2" spans="1:42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1.5</v>
      </c>
      <c r="AA2">
        <v>3</v>
      </c>
      <c r="AB2">
        <v>0.33</v>
      </c>
      <c r="AC2">
        <f t="shared" ref="AC2:AC9" si="0">-AB2</f>
        <v>-0.33</v>
      </c>
      <c r="AF2">
        <v>0.4</v>
      </c>
      <c r="AG2">
        <v>0.9</v>
      </c>
      <c r="AH2">
        <v>7</v>
      </c>
      <c r="AI2">
        <v>5</v>
      </c>
      <c r="AJ2">
        <f>90/3</f>
        <v>30</v>
      </c>
      <c r="AK2">
        <v>9</v>
      </c>
      <c r="AL2">
        <v>1</v>
      </c>
      <c r="AM2">
        <v>26</v>
      </c>
      <c r="AN2">
        <v>21</v>
      </c>
    </row>
    <row r="3" spans="1:42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1.5</v>
      </c>
      <c r="AA3">
        <v>3</v>
      </c>
      <c r="AB3">
        <v>0.33</v>
      </c>
      <c r="AC3">
        <f t="shared" si="0"/>
        <v>-0.33</v>
      </c>
      <c r="AF3">
        <v>0.4</v>
      </c>
      <c r="AG3">
        <v>0.9</v>
      </c>
      <c r="AH3">
        <v>7</v>
      </c>
      <c r="AI3">
        <v>5</v>
      </c>
      <c r="AJ3">
        <f t="shared" ref="AJ3:AJ9" si="1">90/3</f>
        <v>30</v>
      </c>
      <c r="AK3">
        <v>9</v>
      </c>
      <c r="AL3">
        <v>1</v>
      </c>
      <c r="AM3">
        <v>26</v>
      </c>
      <c r="AN3">
        <v>21</v>
      </c>
    </row>
    <row r="4" spans="1:42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0.9</v>
      </c>
      <c r="AH4">
        <v>7</v>
      </c>
      <c r="AI4">
        <v>5</v>
      </c>
      <c r="AJ4">
        <f t="shared" si="1"/>
        <v>30</v>
      </c>
      <c r="AK4">
        <v>9</v>
      </c>
      <c r="AL4">
        <v>1</v>
      </c>
      <c r="AM4">
        <v>26</v>
      </c>
      <c r="AN4">
        <v>21</v>
      </c>
    </row>
    <row r="5" spans="1:42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0.9</v>
      </c>
      <c r="AH5">
        <v>7</v>
      </c>
      <c r="AI5">
        <v>5</v>
      </c>
      <c r="AJ5">
        <f t="shared" si="1"/>
        <v>30</v>
      </c>
      <c r="AK5">
        <v>9</v>
      </c>
      <c r="AL5">
        <v>1</v>
      </c>
      <c r="AM5">
        <v>12</v>
      </c>
      <c r="AN5">
        <v>23</v>
      </c>
    </row>
    <row r="6" spans="1:42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0.9</v>
      </c>
      <c r="AH6">
        <v>7</v>
      </c>
      <c r="AI6">
        <v>5</v>
      </c>
      <c r="AJ6">
        <f t="shared" si="1"/>
        <v>30</v>
      </c>
      <c r="AK6">
        <v>9</v>
      </c>
      <c r="AL6">
        <v>1</v>
      </c>
      <c r="AM6">
        <v>26</v>
      </c>
      <c r="AN6">
        <v>21</v>
      </c>
    </row>
    <row r="7" spans="1:42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0.9</v>
      </c>
      <c r="AH7">
        <v>7</v>
      </c>
      <c r="AI7">
        <v>5</v>
      </c>
      <c r="AJ7">
        <f t="shared" si="1"/>
        <v>30</v>
      </c>
      <c r="AK7">
        <v>9</v>
      </c>
      <c r="AL7">
        <v>1</v>
      </c>
      <c r="AM7">
        <v>26</v>
      </c>
      <c r="AN7">
        <v>2</v>
      </c>
    </row>
    <row r="8" spans="1:42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0.9</v>
      </c>
      <c r="AH8">
        <v>7</v>
      </c>
      <c r="AI8">
        <v>5</v>
      </c>
      <c r="AJ8">
        <f t="shared" si="1"/>
        <v>30</v>
      </c>
      <c r="AK8">
        <v>9</v>
      </c>
      <c r="AL8">
        <v>1</v>
      </c>
      <c r="AM8">
        <v>26</v>
      </c>
      <c r="AN8">
        <v>2</v>
      </c>
    </row>
    <row r="9" spans="1:42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0.9</v>
      </c>
      <c r="AH9">
        <v>7</v>
      </c>
      <c r="AI9">
        <v>5</v>
      </c>
      <c r="AJ9">
        <f t="shared" si="1"/>
        <v>30</v>
      </c>
      <c r="AK9">
        <v>9</v>
      </c>
      <c r="AL9">
        <v>1</v>
      </c>
      <c r="AM9">
        <v>11</v>
      </c>
      <c r="AN9">
        <v>26</v>
      </c>
    </row>
    <row r="10" spans="1:42" x14ac:dyDescent="0.25">
      <c r="A10" s="22"/>
    </row>
    <row r="11" spans="1:42" x14ac:dyDescent="0.25">
      <c r="A11" s="22"/>
    </row>
    <row r="12" spans="1:42" x14ac:dyDescent="0.25">
      <c r="A12" s="22"/>
    </row>
    <row r="13" spans="1:42" x14ac:dyDescent="0.25">
      <c r="A13" s="22"/>
    </row>
    <row r="14" spans="1:42" x14ac:dyDescent="0.25">
      <c r="A14" s="22"/>
    </row>
    <row r="15" spans="1:42" x14ac:dyDescent="0.25">
      <c r="A15" s="22"/>
    </row>
    <row r="16" spans="1:42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topLeftCell="A7"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REGF1W_MPC_DIS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2026-05-01T15:33:32Z</dcterms:modified>
</cp:coreProperties>
</file>